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ygwin64\home\Takashi\COTS_model\utility\"/>
    </mc:Choice>
  </mc:AlternateContent>
  <bookViews>
    <workbookView xWindow="480" yWindow="75" windowWidth="18315" windowHeight="12330" activeTab="1"/>
  </bookViews>
  <sheets>
    <sheet name="Sheet1" sheetId="1" r:id="rId1"/>
    <sheet name="Sheet1 (2)" sheetId="4" r:id="rId2"/>
    <sheet name="Sheet2" sheetId="2" r:id="rId3"/>
    <sheet name="Sheet3" sheetId="3" r:id="rId4"/>
  </sheets>
  <functionGroups builtInGroupCount="18"/>
  <definedNames>
    <definedName name="solver_adj" localSheetId="0" hidden="1">Sheet1!$N$3:$N$4</definedName>
    <definedName name="solver_adj" localSheetId="1" hidden="1">'Sheet1 (2)'!$O$2:$O$6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1" hidden="1">'Sheet1 (2)'!$O$5</definedName>
    <definedName name="solver_lhs2" localSheetId="1" hidden="1">'Sheet1 (2)'!$O$5</definedName>
    <definedName name="solver_lhs3" localSheetId="1" hidden="1">'Sheet1 (2)'!$O$5</definedName>
    <definedName name="solver_lhs4" localSheetId="1" hidden="1">'Sheet1 (2)'!$O$5</definedName>
    <definedName name="solver_lhs5" localSheetId="1" hidden="1">'Sheet1 (2)'!$O$6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Sheet1!$L$28</definedName>
    <definedName name="solver_opt" localSheetId="1" hidden="1">'Sheet1 (2)'!$M$51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el4" localSheetId="1" hidden="1">3</definedName>
    <definedName name="solver_rel5" localSheetId="1" hidden="1">3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hs5" localSheetId="1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J46" i="4" l="1"/>
  <c r="J47" i="4"/>
  <c r="J42" i="4"/>
  <c r="J43" i="4"/>
  <c r="J38" i="4"/>
  <c r="J39" i="4"/>
  <c r="J34" i="4"/>
  <c r="J35" i="4"/>
  <c r="J45" i="4"/>
  <c r="J41" i="4"/>
  <c r="J37" i="4"/>
  <c r="J33" i="4"/>
  <c r="J30" i="4"/>
  <c r="J31" i="4"/>
  <c r="J29" i="4"/>
  <c r="L39" i="4"/>
  <c r="L32" i="4"/>
  <c r="L34" i="4"/>
  <c r="L37" i="4"/>
  <c r="L40" i="4"/>
  <c r="L44" i="4"/>
  <c r="L46" i="4"/>
  <c r="L48" i="4"/>
  <c r="L29" i="4"/>
  <c r="L41" i="4"/>
  <c r="L43" i="4"/>
  <c r="L33" i="4"/>
  <c r="L36" i="4"/>
  <c r="L30" i="4"/>
  <c r="L42" i="4"/>
  <c r="L31" i="4"/>
  <c r="L45" i="4"/>
  <c r="L47" i="4"/>
  <c r="L38" i="4"/>
  <c r="L35" i="4"/>
  <c r="M35" i="4" l="1"/>
  <c r="M38" i="4"/>
  <c r="M47" i="4"/>
  <c r="M45" i="4"/>
  <c r="M31" i="4"/>
  <c r="M42" i="4"/>
  <c r="M30" i="4"/>
  <c r="M36" i="4"/>
  <c r="M33" i="4"/>
  <c r="M43" i="4"/>
  <c r="M41" i="4"/>
  <c r="M29" i="4"/>
  <c r="M48" i="4"/>
  <c r="M46" i="4"/>
  <c r="M44" i="4"/>
  <c r="M40" i="4"/>
  <c r="M37" i="4"/>
  <c r="M34" i="4"/>
  <c r="M32" i="4"/>
  <c r="M39" i="4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" i="1"/>
  <c r="L62" i="4"/>
  <c r="L67" i="4"/>
  <c r="L58" i="4"/>
  <c r="L63" i="4"/>
  <c r="L55" i="4"/>
  <c r="L57" i="4"/>
  <c r="L52" i="4"/>
  <c r="L64" i="4"/>
  <c r="L66" i="4"/>
  <c r="L68" i="4"/>
  <c r="L60" i="4"/>
  <c r="L53" i="4"/>
  <c r="L65" i="4"/>
  <c r="L54" i="4"/>
  <c r="L56" i="4"/>
  <c r="L59" i="4"/>
  <c r="L61" i="4"/>
  <c r="L3" i="4"/>
  <c r="L15" i="4"/>
  <c r="L20" i="4"/>
  <c r="L10" i="4"/>
  <c r="L24" i="4"/>
  <c r="L26" i="4"/>
  <c r="L4" i="4"/>
  <c r="L16" i="4"/>
  <c r="L19" i="4"/>
  <c r="L9" i="4"/>
  <c r="L23" i="4"/>
  <c r="L13" i="4"/>
  <c r="L5" i="4"/>
  <c r="L17" i="4"/>
  <c r="L8" i="4"/>
  <c r="L22" i="4"/>
  <c r="L25" i="4"/>
  <c r="L6" i="4"/>
  <c r="L18" i="4"/>
  <c r="L7" i="4"/>
  <c r="L21" i="4"/>
  <c r="L12" i="4"/>
  <c r="L14" i="4"/>
  <c r="L11" i="4"/>
  <c r="L2" i="4"/>
  <c r="M20" i="4" l="1"/>
  <c r="M26" i="4"/>
  <c r="M6" i="4"/>
  <c r="M13" i="4"/>
  <c r="M17" i="4"/>
  <c r="M23" i="4"/>
  <c r="M5" i="4"/>
  <c r="M22" i="4"/>
  <c r="M14" i="4"/>
  <c r="M9" i="4"/>
  <c r="M24" i="4"/>
  <c r="M7" i="4"/>
  <c r="M11" i="4"/>
  <c r="M15" i="4"/>
  <c r="M2" i="4"/>
  <c r="M3" i="4"/>
  <c r="M8" i="4"/>
  <c r="M25" i="4"/>
  <c r="M18" i="4"/>
  <c r="M12" i="4"/>
  <c r="M16" i="4"/>
  <c r="M21" i="4"/>
  <c r="M19" i="4"/>
  <c r="M10" i="4"/>
  <c r="M4" i="4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" i="1"/>
  <c r="M51" i="4" l="1"/>
  <c r="L28" i="1"/>
</calcChain>
</file>

<file path=xl/sharedStrings.xml><?xml version="1.0" encoding="utf-8"?>
<sst xmlns="http://schemas.openxmlformats.org/spreadsheetml/2006/main" count="38" uniqueCount="23">
  <si>
    <t>Experiment</t>
  </si>
  <si>
    <t>Treatment</t>
  </si>
  <si>
    <t>0.45-FSW</t>
  </si>
  <si>
    <t>2-FSW</t>
  </si>
  <si>
    <t>Chl-a (ug L-1)</t>
    <phoneticPr fontId="1"/>
  </si>
  <si>
    <t>Completion</t>
    <phoneticPr fontId="1"/>
  </si>
  <si>
    <t>a1</t>
    <phoneticPr fontId="1"/>
  </si>
  <si>
    <t>t</t>
    <phoneticPr fontId="1"/>
  </si>
  <si>
    <t>sum</t>
    <phoneticPr fontId="1"/>
  </si>
  <si>
    <t>a2</t>
    <phoneticPr fontId="1"/>
  </si>
  <si>
    <t xml:space="preserve"> exp(-(a1*exp(-a2*Chla))*t)</t>
    <phoneticPr fontId="1"/>
  </si>
  <si>
    <t>p1</t>
    <phoneticPr fontId="1"/>
  </si>
  <si>
    <t>p2</t>
    <phoneticPr fontId="1"/>
  </si>
  <si>
    <t>p3</t>
    <phoneticPr fontId="1"/>
  </si>
  <si>
    <t>p4</t>
    <phoneticPr fontId="1"/>
  </si>
  <si>
    <t>p5</t>
    <phoneticPr fontId="1"/>
  </si>
  <si>
    <t>model suviv. Ratio</t>
    <phoneticPr fontId="1"/>
  </si>
  <si>
    <t>Wolfe et al. 2015</t>
    <phoneticPr fontId="1"/>
  </si>
  <si>
    <t>Vp</t>
    <phoneticPr fontId="1"/>
  </si>
  <si>
    <t>Kp</t>
    <phoneticPr fontId="1"/>
  </si>
  <si>
    <t>resp</t>
    <phoneticPr fontId="1"/>
  </si>
  <si>
    <t>Kmor</t>
    <phoneticPr fontId="1"/>
  </si>
  <si>
    <t>mor0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</si>
</sst>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Completion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Sheet1!$F$2:$F$28</c:f>
              <c:numCache>
                <c:formatCode>General</c:formatCode>
                <c:ptCount val="27"/>
                <c:pt idx="0">
                  <c:v>7.0000000000000007E-2</c:v>
                </c:pt>
                <c:pt idx="1">
                  <c:v>0.17</c:v>
                </c:pt>
                <c:pt idx="2">
                  <c:v>0.4</c:v>
                </c:pt>
                <c:pt idx="3">
                  <c:v>0.08</c:v>
                </c:pt>
                <c:pt idx="4">
                  <c:v>0.25</c:v>
                </c:pt>
                <c:pt idx="5">
                  <c:v>0.52</c:v>
                </c:pt>
                <c:pt idx="6">
                  <c:v>0.08</c:v>
                </c:pt>
                <c:pt idx="7">
                  <c:v>0.28999999999999998</c:v>
                </c:pt>
                <c:pt idx="8">
                  <c:v>0.28000000000000003</c:v>
                </c:pt>
                <c:pt idx="9">
                  <c:v>0.19</c:v>
                </c:pt>
                <c:pt idx="10">
                  <c:v>0.28000000000000003</c:v>
                </c:pt>
                <c:pt idx="11">
                  <c:v>2.91</c:v>
                </c:pt>
                <c:pt idx="12">
                  <c:v>5.25</c:v>
                </c:pt>
                <c:pt idx="13">
                  <c:v>0.19</c:v>
                </c:pt>
                <c:pt idx="14">
                  <c:v>0.28000000000000003</c:v>
                </c:pt>
                <c:pt idx="15">
                  <c:v>2.91</c:v>
                </c:pt>
                <c:pt idx="16">
                  <c:v>5.25</c:v>
                </c:pt>
                <c:pt idx="17">
                  <c:v>0.1</c:v>
                </c:pt>
                <c:pt idx="18">
                  <c:v>0.2</c:v>
                </c:pt>
                <c:pt idx="19">
                  <c:v>0.4</c:v>
                </c:pt>
                <c:pt idx="20">
                  <c:v>0.8</c:v>
                </c:pt>
                <c:pt idx="21">
                  <c:v>1.6</c:v>
                </c:pt>
                <c:pt idx="22">
                  <c:v>0.01</c:v>
                </c:pt>
                <c:pt idx="23">
                  <c:v>0.25</c:v>
                </c:pt>
                <c:pt idx="24">
                  <c:v>0.5</c:v>
                </c:pt>
                <c:pt idx="25">
                  <c:v>0.75</c:v>
                </c:pt>
                <c:pt idx="26">
                  <c:v>1</c:v>
                </c:pt>
              </c:numCache>
            </c:numRef>
          </c:xVal>
          <c:yVal>
            <c:numRef>
              <c:f>Sheet1!$G$2:$G$28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1">
                  <c:v>100</c:v>
                </c:pt>
                <c:pt idx="12">
                  <c:v>100</c:v>
                </c:pt>
                <c:pt idx="13">
                  <c:v>0</c:v>
                </c:pt>
                <c:pt idx="15">
                  <c:v>99</c:v>
                </c:pt>
                <c:pt idx="16">
                  <c:v>100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32.299999999999997</c:v>
                </c:pt>
                <c:pt idx="21">
                  <c:v>50.2</c:v>
                </c:pt>
                <c:pt idx="22">
                  <c:v>0</c:v>
                </c:pt>
                <c:pt idx="23">
                  <c:v>0</c:v>
                </c:pt>
                <c:pt idx="24">
                  <c:v>6.8</c:v>
                </c:pt>
                <c:pt idx="25">
                  <c:v>38.6</c:v>
                </c:pt>
                <c:pt idx="26">
                  <c:v>61.6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99952"/>
        <c:axId val="506001128"/>
      </c:scatterChart>
      <c:valAx>
        <c:axId val="505999952"/>
        <c:scaling>
          <c:logBase val="10"/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506001128"/>
        <c:crosses val="autoZero"/>
        <c:crossBetween val="midCat"/>
      </c:valAx>
      <c:valAx>
        <c:axId val="506001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5999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Completion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Sheet1!$F$2:$F$28</c:f>
              <c:numCache>
                <c:formatCode>General</c:formatCode>
                <c:ptCount val="27"/>
                <c:pt idx="0">
                  <c:v>7.0000000000000007E-2</c:v>
                </c:pt>
                <c:pt idx="1">
                  <c:v>0.17</c:v>
                </c:pt>
                <c:pt idx="2">
                  <c:v>0.4</c:v>
                </c:pt>
                <c:pt idx="3">
                  <c:v>0.08</c:v>
                </c:pt>
                <c:pt idx="4">
                  <c:v>0.25</c:v>
                </c:pt>
                <c:pt idx="5">
                  <c:v>0.52</c:v>
                </c:pt>
                <c:pt idx="6">
                  <c:v>0.08</c:v>
                </c:pt>
                <c:pt idx="7">
                  <c:v>0.28999999999999998</c:v>
                </c:pt>
                <c:pt idx="8">
                  <c:v>0.28000000000000003</c:v>
                </c:pt>
                <c:pt idx="9">
                  <c:v>0.19</c:v>
                </c:pt>
                <c:pt idx="10">
                  <c:v>0.28000000000000003</c:v>
                </c:pt>
                <c:pt idx="11">
                  <c:v>2.91</c:v>
                </c:pt>
                <c:pt idx="12">
                  <c:v>5.25</c:v>
                </c:pt>
                <c:pt idx="13">
                  <c:v>0.19</c:v>
                </c:pt>
                <c:pt idx="14">
                  <c:v>0.28000000000000003</c:v>
                </c:pt>
                <c:pt idx="15">
                  <c:v>2.91</c:v>
                </c:pt>
                <c:pt idx="16">
                  <c:v>5.25</c:v>
                </c:pt>
                <c:pt idx="17">
                  <c:v>0.1</c:v>
                </c:pt>
                <c:pt idx="18">
                  <c:v>0.2</c:v>
                </c:pt>
                <c:pt idx="19">
                  <c:v>0.4</c:v>
                </c:pt>
                <c:pt idx="20">
                  <c:v>0.8</c:v>
                </c:pt>
                <c:pt idx="21">
                  <c:v>1.6</c:v>
                </c:pt>
                <c:pt idx="22">
                  <c:v>0.01</c:v>
                </c:pt>
                <c:pt idx="23">
                  <c:v>0.25</c:v>
                </c:pt>
                <c:pt idx="24">
                  <c:v>0.5</c:v>
                </c:pt>
                <c:pt idx="25">
                  <c:v>0.75</c:v>
                </c:pt>
                <c:pt idx="26">
                  <c:v>1</c:v>
                </c:pt>
              </c:numCache>
            </c:numRef>
          </c:xVal>
          <c:yVal>
            <c:numRef>
              <c:f>Sheet1!$G$2:$G$28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1">
                  <c:v>100</c:v>
                </c:pt>
                <c:pt idx="12">
                  <c:v>100</c:v>
                </c:pt>
                <c:pt idx="13">
                  <c:v>0</c:v>
                </c:pt>
                <c:pt idx="15">
                  <c:v>99</c:v>
                </c:pt>
                <c:pt idx="16">
                  <c:v>100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32.299999999999997</c:v>
                </c:pt>
                <c:pt idx="21">
                  <c:v>50.2</c:v>
                </c:pt>
                <c:pt idx="22">
                  <c:v>0</c:v>
                </c:pt>
                <c:pt idx="23">
                  <c:v>0</c:v>
                </c:pt>
                <c:pt idx="24">
                  <c:v>6.8</c:v>
                </c:pt>
                <c:pt idx="25">
                  <c:v>38.6</c:v>
                </c:pt>
                <c:pt idx="26">
                  <c:v>61.6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001912"/>
        <c:axId val="610857000"/>
      </c:scatterChart>
      <c:valAx>
        <c:axId val="506001912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610857000"/>
        <c:crosses val="autoZero"/>
        <c:crossBetween val="midCat"/>
      </c:valAx>
      <c:valAx>
        <c:axId val="610857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6001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0.26640682414698164"/>
                  <c:y val="2.1933914192470698E-2"/>
                </c:manualLayout>
              </c:layout>
              <c:numFmt formatCode="General" sourceLinked="0"/>
            </c:trendlineLbl>
          </c:trendline>
          <c:xVal>
            <c:numRef>
              <c:f>Sheet1!$J$2:$J$26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32.299999999999997</c:v>
                </c:pt>
                <c:pt idx="19">
                  <c:v>50.2</c:v>
                </c:pt>
                <c:pt idx="20">
                  <c:v>0</c:v>
                </c:pt>
                <c:pt idx="21">
                  <c:v>0</c:v>
                </c:pt>
                <c:pt idx="22">
                  <c:v>6.8</c:v>
                </c:pt>
                <c:pt idx="23">
                  <c:v>38.6</c:v>
                </c:pt>
                <c:pt idx="24">
                  <c:v>61.6</c:v>
                </c:pt>
              </c:numCache>
            </c:numRef>
          </c:xVal>
          <c:yVal>
            <c:numRef>
              <c:f>Sheet1!$K$2:$K$26</c:f>
              <c:numCache>
                <c:formatCode>General</c:formatCode>
                <c:ptCount val="25"/>
                <c:pt idx="0">
                  <c:v>0.92342132545152833</c:v>
                </c:pt>
                <c:pt idx="1">
                  <c:v>2.0065087425477026</c:v>
                </c:pt>
                <c:pt idx="2">
                  <c:v>7.599198226572879</c:v>
                </c:pt>
                <c:pt idx="3">
                  <c:v>1.0044225680280801</c:v>
                </c:pt>
                <c:pt idx="4">
                  <c:v>3.3994356881320513</c:v>
                </c:pt>
                <c:pt idx="5">
                  <c:v>12.571679790792716</c:v>
                </c:pt>
                <c:pt idx="6">
                  <c:v>1.0044225680280801</c:v>
                </c:pt>
                <c:pt idx="7">
                  <c:v>4.3056051846541319</c:v>
                </c:pt>
                <c:pt idx="8">
                  <c:v>4.0650893379591899</c:v>
                </c:pt>
                <c:pt idx="9">
                  <c:v>2.3058395008398342</c:v>
                </c:pt>
                <c:pt idx="10">
                  <c:v>97.302318700019612</c:v>
                </c:pt>
                <c:pt idx="11">
                  <c:v>99.960525054760225</c:v>
                </c:pt>
                <c:pt idx="12">
                  <c:v>2.3058395008398342</c:v>
                </c:pt>
                <c:pt idx="13">
                  <c:v>97.302318700019612</c:v>
                </c:pt>
                <c:pt idx="14">
                  <c:v>99.960525054760225</c:v>
                </c:pt>
                <c:pt idx="15">
                  <c:v>1.1830284134137234</c:v>
                </c:pt>
                <c:pt idx="16">
                  <c:v>2.467247196473906</c:v>
                </c:pt>
                <c:pt idx="17">
                  <c:v>7.599198226572879</c:v>
                </c:pt>
                <c:pt idx="18">
                  <c:v>28.682718943161706</c:v>
                </c:pt>
                <c:pt idx="19">
                  <c:v>74.581173959779576</c:v>
                </c:pt>
                <c:pt idx="20">
                  <c:v>0.53932555851634933</c:v>
                </c:pt>
                <c:pt idx="21">
                  <c:v>3.3994356881320513</c:v>
                </c:pt>
                <c:pt idx="22">
                  <c:v>11.645922616733726</c:v>
                </c:pt>
                <c:pt idx="23">
                  <c:v>25.480810437449939</c:v>
                </c:pt>
                <c:pt idx="24">
                  <c:v>41.921049078507863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57784"/>
        <c:axId val="610858176"/>
      </c:scatterChart>
      <c:valAx>
        <c:axId val="61085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858176"/>
        <c:crosses val="autoZero"/>
        <c:crossBetween val="midCat"/>
      </c:valAx>
      <c:valAx>
        <c:axId val="610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857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Sheet1!$I$2:$I$26</c:f>
              <c:numCache>
                <c:formatCode>General</c:formatCode>
                <c:ptCount val="25"/>
                <c:pt idx="0">
                  <c:v>7.0000000000000007E-2</c:v>
                </c:pt>
                <c:pt idx="1">
                  <c:v>0.17</c:v>
                </c:pt>
                <c:pt idx="2">
                  <c:v>0.4</c:v>
                </c:pt>
                <c:pt idx="3">
                  <c:v>0.08</c:v>
                </c:pt>
                <c:pt idx="4">
                  <c:v>0.25</c:v>
                </c:pt>
                <c:pt idx="5">
                  <c:v>0.52</c:v>
                </c:pt>
                <c:pt idx="6">
                  <c:v>0.08</c:v>
                </c:pt>
                <c:pt idx="7">
                  <c:v>0.28999999999999998</c:v>
                </c:pt>
                <c:pt idx="8">
                  <c:v>0.28000000000000003</c:v>
                </c:pt>
                <c:pt idx="9">
                  <c:v>0.19</c:v>
                </c:pt>
                <c:pt idx="10">
                  <c:v>2.91</c:v>
                </c:pt>
                <c:pt idx="11">
                  <c:v>5.25</c:v>
                </c:pt>
                <c:pt idx="12">
                  <c:v>0.19</c:v>
                </c:pt>
                <c:pt idx="13">
                  <c:v>2.91</c:v>
                </c:pt>
                <c:pt idx="14">
                  <c:v>5.25</c:v>
                </c:pt>
                <c:pt idx="15">
                  <c:v>0.1</c:v>
                </c:pt>
                <c:pt idx="16">
                  <c:v>0.2</c:v>
                </c:pt>
                <c:pt idx="17">
                  <c:v>0.4</c:v>
                </c:pt>
                <c:pt idx="18">
                  <c:v>0.8</c:v>
                </c:pt>
                <c:pt idx="19">
                  <c:v>1.6</c:v>
                </c:pt>
                <c:pt idx="20">
                  <c:v>0.01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</c:v>
                </c:pt>
              </c:numCache>
            </c:numRef>
          </c:xVal>
          <c:yVal>
            <c:numRef>
              <c:f>Sheet1!$J$2:$J$26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32.299999999999997</c:v>
                </c:pt>
                <c:pt idx="19">
                  <c:v>50.2</c:v>
                </c:pt>
                <c:pt idx="20">
                  <c:v>0</c:v>
                </c:pt>
                <c:pt idx="21">
                  <c:v>0</c:v>
                </c:pt>
                <c:pt idx="22">
                  <c:v>6.8</c:v>
                </c:pt>
                <c:pt idx="23">
                  <c:v>38.6</c:v>
                </c:pt>
                <c:pt idx="24">
                  <c:v>61.6</c:v>
                </c:pt>
              </c:numCache>
            </c:numRef>
          </c:yVal>
          <c:smooth val="1"/>
        </c:ser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Sheet1!$I$29:$I$118</c:f>
              <c:numCache>
                <c:formatCode>General</c:formatCode>
                <c:ptCount val="90"/>
                <c:pt idx="0">
                  <c:v>0.01</c:v>
                </c:pt>
                <c:pt idx="1">
                  <c:v>0.08</c:v>
                </c:pt>
                <c:pt idx="2">
                  <c:v>0.15</c:v>
                </c:pt>
                <c:pt idx="3">
                  <c:v>0.22</c:v>
                </c:pt>
                <c:pt idx="4">
                  <c:v>0.28999999999999998</c:v>
                </c:pt>
                <c:pt idx="5">
                  <c:v>0.36</c:v>
                </c:pt>
                <c:pt idx="6">
                  <c:v>0.43</c:v>
                </c:pt>
                <c:pt idx="7">
                  <c:v>0.5</c:v>
                </c:pt>
                <c:pt idx="8">
                  <c:v>0.56999999999999995</c:v>
                </c:pt>
                <c:pt idx="9">
                  <c:v>0.64</c:v>
                </c:pt>
                <c:pt idx="10">
                  <c:v>0.71</c:v>
                </c:pt>
                <c:pt idx="11">
                  <c:v>0.78</c:v>
                </c:pt>
                <c:pt idx="12">
                  <c:v>0.85</c:v>
                </c:pt>
                <c:pt idx="13">
                  <c:v>0.92</c:v>
                </c:pt>
                <c:pt idx="14">
                  <c:v>0.99</c:v>
                </c:pt>
                <c:pt idx="15">
                  <c:v>1.06</c:v>
                </c:pt>
                <c:pt idx="16">
                  <c:v>1.1299999999999999</c:v>
                </c:pt>
                <c:pt idx="17">
                  <c:v>1.2</c:v>
                </c:pt>
                <c:pt idx="18">
                  <c:v>1.27</c:v>
                </c:pt>
                <c:pt idx="19">
                  <c:v>1.34</c:v>
                </c:pt>
                <c:pt idx="20">
                  <c:v>1.41</c:v>
                </c:pt>
                <c:pt idx="21">
                  <c:v>1.48</c:v>
                </c:pt>
                <c:pt idx="22">
                  <c:v>1.55</c:v>
                </c:pt>
                <c:pt idx="23">
                  <c:v>1.62</c:v>
                </c:pt>
                <c:pt idx="24">
                  <c:v>1.69</c:v>
                </c:pt>
                <c:pt idx="25">
                  <c:v>1.76</c:v>
                </c:pt>
                <c:pt idx="26">
                  <c:v>1.83</c:v>
                </c:pt>
                <c:pt idx="27">
                  <c:v>1.9</c:v>
                </c:pt>
                <c:pt idx="28">
                  <c:v>1.97</c:v>
                </c:pt>
                <c:pt idx="29">
                  <c:v>2.04</c:v>
                </c:pt>
                <c:pt idx="30">
                  <c:v>2.11</c:v>
                </c:pt>
                <c:pt idx="31">
                  <c:v>2.1800000000000002</c:v>
                </c:pt>
                <c:pt idx="32">
                  <c:v>2.25</c:v>
                </c:pt>
                <c:pt idx="33">
                  <c:v>2.3199999999999998</c:v>
                </c:pt>
                <c:pt idx="34">
                  <c:v>2.39</c:v>
                </c:pt>
                <c:pt idx="35">
                  <c:v>2.46</c:v>
                </c:pt>
                <c:pt idx="36">
                  <c:v>2.5299999999999998</c:v>
                </c:pt>
                <c:pt idx="37">
                  <c:v>2.6</c:v>
                </c:pt>
                <c:pt idx="38">
                  <c:v>2.67</c:v>
                </c:pt>
                <c:pt idx="39">
                  <c:v>2.74</c:v>
                </c:pt>
                <c:pt idx="40">
                  <c:v>2.81</c:v>
                </c:pt>
                <c:pt idx="41">
                  <c:v>2.88</c:v>
                </c:pt>
                <c:pt idx="42">
                  <c:v>2.95</c:v>
                </c:pt>
                <c:pt idx="43">
                  <c:v>3.02</c:v>
                </c:pt>
                <c:pt idx="44">
                  <c:v>3.09</c:v>
                </c:pt>
                <c:pt idx="45">
                  <c:v>3.16</c:v>
                </c:pt>
                <c:pt idx="46">
                  <c:v>3.23</c:v>
                </c:pt>
                <c:pt idx="47">
                  <c:v>3.3</c:v>
                </c:pt>
                <c:pt idx="48">
                  <c:v>3.37</c:v>
                </c:pt>
                <c:pt idx="49">
                  <c:v>3.44</c:v>
                </c:pt>
                <c:pt idx="50">
                  <c:v>3.51</c:v>
                </c:pt>
                <c:pt idx="51">
                  <c:v>3.58</c:v>
                </c:pt>
                <c:pt idx="52">
                  <c:v>3.65</c:v>
                </c:pt>
                <c:pt idx="53">
                  <c:v>3.72</c:v>
                </c:pt>
                <c:pt idx="54">
                  <c:v>3.79</c:v>
                </c:pt>
                <c:pt idx="55">
                  <c:v>3.86</c:v>
                </c:pt>
                <c:pt idx="56">
                  <c:v>3.93</c:v>
                </c:pt>
                <c:pt idx="57">
                  <c:v>4</c:v>
                </c:pt>
                <c:pt idx="58">
                  <c:v>4.07</c:v>
                </c:pt>
                <c:pt idx="59">
                  <c:v>4.1399999999999997</c:v>
                </c:pt>
                <c:pt idx="60">
                  <c:v>4.21</c:v>
                </c:pt>
                <c:pt idx="61">
                  <c:v>4.28</c:v>
                </c:pt>
                <c:pt idx="62">
                  <c:v>4.3499999999999996</c:v>
                </c:pt>
                <c:pt idx="63">
                  <c:v>4.42</c:v>
                </c:pt>
                <c:pt idx="64">
                  <c:v>4.49</c:v>
                </c:pt>
                <c:pt idx="65">
                  <c:v>4.5599999999999996</c:v>
                </c:pt>
                <c:pt idx="66">
                  <c:v>4.63</c:v>
                </c:pt>
                <c:pt idx="67">
                  <c:v>4.7</c:v>
                </c:pt>
                <c:pt idx="68">
                  <c:v>4.7699999999999996</c:v>
                </c:pt>
                <c:pt idx="69">
                  <c:v>4.84</c:v>
                </c:pt>
                <c:pt idx="70">
                  <c:v>4.91</c:v>
                </c:pt>
                <c:pt idx="71">
                  <c:v>4.9800000000000004</c:v>
                </c:pt>
                <c:pt idx="72">
                  <c:v>5.05</c:v>
                </c:pt>
                <c:pt idx="73">
                  <c:v>5.12</c:v>
                </c:pt>
                <c:pt idx="74">
                  <c:v>5.19</c:v>
                </c:pt>
                <c:pt idx="75">
                  <c:v>5.26</c:v>
                </c:pt>
                <c:pt idx="76">
                  <c:v>5.33</c:v>
                </c:pt>
                <c:pt idx="77">
                  <c:v>5.4</c:v>
                </c:pt>
                <c:pt idx="78">
                  <c:v>5.47</c:v>
                </c:pt>
                <c:pt idx="79">
                  <c:v>5.54</c:v>
                </c:pt>
                <c:pt idx="80">
                  <c:v>5.61</c:v>
                </c:pt>
                <c:pt idx="81">
                  <c:v>5.68</c:v>
                </c:pt>
                <c:pt idx="82">
                  <c:v>5.75</c:v>
                </c:pt>
                <c:pt idx="83">
                  <c:v>5.82</c:v>
                </c:pt>
                <c:pt idx="84">
                  <c:v>5.89</c:v>
                </c:pt>
                <c:pt idx="85">
                  <c:v>5.96</c:v>
                </c:pt>
                <c:pt idx="86">
                  <c:v>6.03</c:v>
                </c:pt>
                <c:pt idx="87">
                  <c:v>6.1</c:v>
                </c:pt>
                <c:pt idx="88">
                  <c:v>6.17</c:v>
                </c:pt>
                <c:pt idx="89">
                  <c:v>6.24</c:v>
                </c:pt>
              </c:numCache>
            </c:numRef>
          </c:xVal>
          <c:yVal>
            <c:numRef>
              <c:f>Sheet1!$K$29:$K$118</c:f>
              <c:numCache>
                <c:formatCode>General</c:formatCode>
                <c:ptCount val="90"/>
                <c:pt idx="0">
                  <c:v>0.53932555851634933</c:v>
                </c:pt>
                <c:pt idx="1">
                  <c:v>1.0044225680280801</c:v>
                </c:pt>
                <c:pt idx="2">
                  <c:v>1.737103079360236</c:v>
                </c:pt>
                <c:pt idx="3">
                  <c:v>2.8145385227871045</c:v>
                </c:pt>
                <c:pt idx="4">
                  <c:v>4.3056051846541319</c:v>
                </c:pt>
                <c:pt idx="5">
                  <c:v>6.2614932886197776</c:v>
                </c:pt>
                <c:pt idx="6">
                  <c:v>8.7087508563319034</c:v>
                </c:pt>
                <c:pt idx="7">
                  <c:v>11.645922616733726</c:v>
                </c:pt>
                <c:pt idx="8">
                  <c:v>15.043999896794173</c:v>
                </c:pt>
                <c:pt idx="9">
                  <c:v>18.850096078206459</c:v>
                </c:pt>
                <c:pt idx="10">
                  <c:v>22.99328434237438</c:v>
                </c:pt>
                <c:pt idx="11">
                  <c:v>27.391405789497004</c:v>
                </c:pt>
                <c:pt idx="12">
                  <c:v>31.957796763511148</c:v>
                </c:pt>
                <c:pt idx="13">
                  <c:v>36.607173963705094</c:v>
                </c:pt>
                <c:pt idx="14">
                  <c:v>41.260243831753975</c:v>
                </c:pt>
                <c:pt idx="15">
                  <c:v>45.846892488720606</c:v>
                </c:pt>
                <c:pt idx="16">
                  <c:v>50.308026386546992</c:v>
                </c:pt>
                <c:pt idx="17">
                  <c:v>54.596264496886974</c:v>
                </c:pt>
                <c:pt idx="18">
                  <c:v>58.675741517979638</c:v>
                </c:pt>
                <c:pt idx="19">
                  <c:v>62.52128743019901</c:v>
                </c:pt>
                <c:pt idx="20">
                  <c:v>66.117221625210618</c:v>
                </c:pt>
                <c:pt idx="21">
                  <c:v>69.455956356793578</c:v>
                </c:pt>
                <c:pt idx="22">
                  <c:v>72.536556349667876</c:v>
                </c:pt>
                <c:pt idx="23">
                  <c:v>75.363356509344811</c:v>
                </c:pt>
                <c:pt idx="24">
                  <c:v>77.944701659829121</c:v>
                </c:pt>
                <c:pt idx="25">
                  <c:v>80.291842432088416</c:v>
                </c:pt>
                <c:pt idx="26">
                  <c:v>82.417999608772845</c:v>
                </c:pt>
                <c:pt idx="27">
                  <c:v>84.337594352926487</c:v>
                </c:pt>
                <c:pt idx="28">
                  <c:v>86.065632448245651</c:v>
                </c:pt>
                <c:pt idx="29">
                  <c:v>87.617225586636906</c:v>
                </c:pt>
                <c:pt idx="30">
                  <c:v>89.007230641847016</c:v>
                </c:pt>
                <c:pt idx="31">
                  <c:v>90.24998777359076</c:v>
                </c:pt>
                <c:pt idx="32">
                  <c:v>91.359139351707114</c:v>
                </c:pt>
                <c:pt idx="33">
                  <c:v>92.347513517380804</c:v>
                </c:pt>
                <c:pt idx="34">
                  <c:v>93.227058321892045</c:v>
                </c:pt>
                <c:pt idx="35">
                  <c:v>94.008814549128942</c:v>
                </c:pt>
                <c:pt idx="36">
                  <c:v>94.702917381245427</c:v>
                </c:pt>
                <c:pt idx="37">
                  <c:v>95.318618922388254</c:v>
                </c:pt>
                <c:pt idx="38">
                  <c:v>95.864325215849135</c:v>
                </c:pt>
                <c:pt idx="39">
                  <c:v>96.347642768431754</c:v>
                </c:pt>
                <c:pt idx="40">
                  <c:v>96.775430743819896</c:v>
                </c:pt>
                <c:pt idx="41">
                  <c:v>97.153855925878389</c:v>
                </c:pt>
                <c:pt idx="42">
                  <c:v>97.488448309114276</c:v>
                </c:pt>
                <c:pt idx="43">
                  <c:v>97.784155773836872</c:v>
                </c:pt>
                <c:pt idx="44">
                  <c:v>98.045396773487852</c:v>
                </c:pt>
                <c:pt idx="45">
                  <c:v>98.276110324390359</c:v>
                </c:pt>
                <c:pt idx="46">
                  <c:v>98.479802864131898</c:v>
                </c:pt>
                <c:pt idx="47">
                  <c:v>98.659591751318885</c:v>
                </c:pt>
                <c:pt idx="48">
                  <c:v>98.81824533106915</c:v>
                </c:pt>
                <c:pt idx="49">
                  <c:v>98.958219599323769</c:v>
                </c:pt>
                <c:pt idx="50">
                  <c:v>99.081691574605145</c:v>
                </c:pt>
                <c:pt idx="51">
                  <c:v>99.190589536053992</c:v>
                </c:pt>
                <c:pt idx="52">
                  <c:v>99.286620317671606</c:v>
                </c:pt>
                <c:pt idx="53">
                  <c:v>99.371293865579005</c:v>
                </c:pt>
                <c:pt idx="54">
                  <c:v>99.445945271611762</c:v>
                </c:pt>
                <c:pt idx="55">
                  <c:v>99.511754495658849</c:v>
                </c:pt>
                <c:pt idx="56">
                  <c:v>99.56976398309267</c:v>
                </c:pt>
                <c:pt idx="57">
                  <c:v>99.620894374148278</c:v>
                </c:pt>
                <c:pt idx="58">
                  <c:v>99.665958490478374</c:v>
                </c:pt>
                <c:pt idx="59">
                  <c:v>99.705673771294514</c:v>
                </c:pt>
                <c:pt idx="60">
                  <c:v>99.740673318195149</c:v>
                </c:pt>
                <c:pt idx="61">
                  <c:v>99.771515694474104</c:v>
                </c:pt>
                <c:pt idx="62">
                  <c:v>99.798693611741996</c:v>
                </c:pt>
                <c:pt idx="63">
                  <c:v>99.822641624306314</c:v>
                </c:pt>
                <c:pt idx="64">
                  <c:v>99.84374294008677</c:v>
                </c:pt>
                <c:pt idx="65">
                  <c:v>99.862335445972462</c:v>
                </c:pt>
                <c:pt idx="66">
                  <c:v>99.878717035490297</c:v>
                </c:pt>
                <c:pt idx="67">
                  <c:v>99.893150317452609</c:v>
                </c:pt>
                <c:pt idx="68">
                  <c:v>99.90586677586667</c:v>
                </c:pt>
                <c:pt idx="69">
                  <c:v>99.917070443782961</c:v>
                </c:pt>
                <c:pt idx="70">
                  <c:v>99.926941146889817</c:v>
                </c:pt>
                <c:pt idx="71">
                  <c:v>99.935637366478332</c:v>
                </c:pt>
                <c:pt idx="72">
                  <c:v>99.943298765851452</c:v>
                </c:pt>
                <c:pt idx="73">
                  <c:v>99.950048419281217</c:v>
                </c:pt>
                <c:pt idx="74">
                  <c:v>99.955994778179601</c:v>
                </c:pt>
                <c:pt idx="75">
                  <c:v>99.961233405187784</c:v>
                </c:pt>
                <c:pt idx="76">
                  <c:v>99.965848503364313</c:v>
                </c:pt>
                <c:pt idx="77">
                  <c:v>99.969914264516831</c:v>
                </c:pt>
                <c:pt idx="78">
                  <c:v>99.973496057938604</c:v>
                </c:pt>
                <c:pt idx="79">
                  <c:v>99.976651478340088</c:v>
                </c:pt>
                <c:pt idx="80">
                  <c:v>99.979431269576295</c:v>
                </c:pt>
                <c:pt idx="81">
                  <c:v>99.981880138830846</c:v>
                </c:pt>
                <c:pt idx="82">
                  <c:v>99.984037474200633</c:v>
                </c:pt>
                <c:pt idx="83">
                  <c:v>99.985937977105749</c:v>
                </c:pt>
                <c:pt idx="84">
                  <c:v>99.98761221960693</c:v>
                </c:pt>
                <c:pt idx="85">
                  <c:v>99.989087135524585</c:v>
                </c:pt>
                <c:pt idx="86">
                  <c:v>99.990386453206284</c:v>
                </c:pt>
                <c:pt idx="87">
                  <c:v>99.991531076861861</c:v>
                </c:pt>
                <c:pt idx="88">
                  <c:v>99.992539422568925</c:v>
                </c:pt>
                <c:pt idx="89">
                  <c:v>99.993427714328988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58960"/>
        <c:axId val="610859352"/>
      </c:scatterChart>
      <c:valAx>
        <c:axId val="61085896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859352"/>
        <c:crosses val="autoZero"/>
        <c:crossBetween val="midCat"/>
      </c:valAx>
      <c:valAx>
        <c:axId val="610859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858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'Sheet1 (2)'!$G$1</c:f>
              <c:strCache>
                <c:ptCount val="1"/>
                <c:pt idx="0">
                  <c:v>Completion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'Sheet1 (2)'!$F$2:$F$28</c:f>
              <c:numCache>
                <c:formatCode>General</c:formatCode>
                <c:ptCount val="27"/>
                <c:pt idx="0">
                  <c:v>7.0000000000000007E-2</c:v>
                </c:pt>
                <c:pt idx="1">
                  <c:v>0.17</c:v>
                </c:pt>
                <c:pt idx="2">
                  <c:v>0.4</c:v>
                </c:pt>
                <c:pt idx="3">
                  <c:v>0.08</c:v>
                </c:pt>
                <c:pt idx="4">
                  <c:v>0.25</c:v>
                </c:pt>
                <c:pt idx="5">
                  <c:v>0.52</c:v>
                </c:pt>
                <c:pt idx="6">
                  <c:v>0.08</c:v>
                </c:pt>
                <c:pt idx="7">
                  <c:v>0.28999999999999998</c:v>
                </c:pt>
                <c:pt idx="8">
                  <c:v>0.28000000000000003</c:v>
                </c:pt>
                <c:pt idx="9">
                  <c:v>0.19</c:v>
                </c:pt>
                <c:pt idx="10">
                  <c:v>0.28000000000000003</c:v>
                </c:pt>
                <c:pt idx="11">
                  <c:v>2.91</c:v>
                </c:pt>
                <c:pt idx="12">
                  <c:v>5.25</c:v>
                </c:pt>
                <c:pt idx="13">
                  <c:v>0.19</c:v>
                </c:pt>
                <c:pt idx="14">
                  <c:v>0.28000000000000003</c:v>
                </c:pt>
                <c:pt idx="15">
                  <c:v>2.91</c:v>
                </c:pt>
                <c:pt idx="16">
                  <c:v>5.25</c:v>
                </c:pt>
                <c:pt idx="17">
                  <c:v>0.1</c:v>
                </c:pt>
                <c:pt idx="18">
                  <c:v>0.2</c:v>
                </c:pt>
                <c:pt idx="19">
                  <c:v>0.4</c:v>
                </c:pt>
                <c:pt idx="20">
                  <c:v>0.8</c:v>
                </c:pt>
                <c:pt idx="21">
                  <c:v>1.6</c:v>
                </c:pt>
                <c:pt idx="22">
                  <c:v>0.01</c:v>
                </c:pt>
                <c:pt idx="23">
                  <c:v>0.25</c:v>
                </c:pt>
                <c:pt idx="24">
                  <c:v>0.5</c:v>
                </c:pt>
                <c:pt idx="25">
                  <c:v>0.75</c:v>
                </c:pt>
                <c:pt idx="26">
                  <c:v>1</c:v>
                </c:pt>
              </c:numCache>
            </c:numRef>
          </c:xVal>
          <c:yVal>
            <c:numRef>
              <c:f>'Sheet1 (2)'!$G$2:$G$28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1">
                  <c:v>100</c:v>
                </c:pt>
                <c:pt idx="12">
                  <c:v>100</c:v>
                </c:pt>
                <c:pt idx="13">
                  <c:v>0</c:v>
                </c:pt>
                <c:pt idx="15">
                  <c:v>99</c:v>
                </c:pt>
                <c:pt idx="16">
                  <c:v>100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32.299999999999997</c:v>
                </c:pt>
                <c:pt idx="21">
                  <c:v>50.2</c:v>
                </c:pt>
                <c:pt idx="22">
                  <c:v>0</c:v>
                </c:pt>
                <c:pt idx="23">
                  <c:v>0</c:v>
                </c:pt>
                <c:pt idx="24">
                  <c:v>6.8</c:v>
                </c:pt>
                <c:pt idx="25">
                  <c:v>38.6</c:v>
                </c:pt>
                <c:pt idx="26">
                  <c:v>61.6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0136"/>
        <c:axId val="610860528"/>
      </c:scatterChart>
      <c:valAx>
        <c:axId val="610860136"/>
        <c:scaling>
          <c:logBase val="10"/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610860528"/>
        <c:crosses val="autoZero"/>
        <c:crossBetween val="midCat"/>
      </c:valAx>
      <c:valAx>
        <c:axId val="61086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860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'Sheet1 (2)'!$G$1</c:f>
              <c:strCache>
                <c:ptCount val="1"/>
                <c:pt idx="0">
                  <c:v>Completion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'Sheet1 (2)'!$F$2:$F$28</c:f>
              <c:numCache>
                <c:formatCode>General</c:formatCode>
                <c:ptCount val="27"/>
                <c:pt idx="0">
                  <c:v>7.0000000000000007E-2</c:v>
                </c:pt>
                <c:pt idx="1">
                  <c:v>0.17</c:v>
                </c:pt>
                <c:pt idx="2">
                  <c:v>0.4</c:v>
                </c:pt>
                <c:pt idx="3">
                  <c:v>0.08</c:v>
                </c:pt>
                <c:pt idx="4">
                  <c:v>0.25</c:v>
                </c:pt>
                <c:pt idx="5">
                  <c:v>0.52</c:v>
                </c:pt>
                <c:pt idx="6">
                  <c:v>0.08</c:v>
                </c:pt>
                <c:pt idx="7">
                  <c:v>0.28999999999999998</c:v>
                </c:pt>
                <c:pt idx="8">
                  <c:v>0.28000000000000003</c:v>
                </c:pt>
                <c:pt idx="9">
                  <c:v>0.19</c:v>
                </c:pt>
                <c:pt idx="10">
                  <c:v>0.28000000000000003</c:v>
                </c:pt>
                <c:pt idx="11">
                  <c:v>2.91</c:v>
                </c:pt>
                <c:pt idx="12">
                  <c:v>5.25</c:v>
                </c:pt>
                <c:pt idx="13">
                  <c:v>0.19</c:v>
                </c:pt>
                <c:pt idx="14">
                  <c:v>0.28000000000000003</c:v>
                </c:pt>
                <c:pt idx="15">
                  <c:v>2.91</c:v>
                </c:pt>
                <c:pt idx="16">
                  <c:v>5.25</c:v>
                </c:pt>
                <c:pt idx="17">
                  <c:v>0.1</c:v>
                </c:pt>
                <c:pt idx="18">
                  <c:v>0.2</c:v>
                </c:pt>
                <c:pt idx="19">
                  <c:v>0.4</c:v>
                </c:pt>
                <c:pt idx="20">
                  <c:v>0.8</c:v>
                </c:pt>
                <c:pt idx="21">
                  <c:v>1.6</c:v>
                </c:pt>
                <c:pt idx="22">
                  <c:v>0.01</c:v>
                </c:pt>
                <c:pt idx="23">
                  <c:v>0.25</c:v>
                </c:pt>
                <c:pt idx="24">
                  <c:v>0.5</c:v>
                </c:pt>
                <c:pt idx="25">
                  <c:v>0.75</c:v>
                </c:pt>
                <c:pt idx="26">
                  <c:v>1</c:v>
                </c:pt>
              </c:numCache>
            </c:numRef>
          </c:xVal>
          <c:yVal>
            <c:numRef>
              <c:f>'Sheet1 (2)'!$G$2:$G$28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1">
                  <c:v>100</c:v>
                </c:pt>
                <c:pt idx="12">
                  <c:v>100</c:v>
                </c:pt>
                <c:pt idx="13">
                  <c:v>0</c:v>
                </c:pt>
                <c:pt idx="15">
                  <c:v>99</c:v>
                </c:pt>
                <c:pt idx="16">
                  <c:v>100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32.299999999999997</c:v>
                </c:pt>
                <c:pt idx="21">
                  <c:v>50.2</c:v>
                </c:pt>
                <c:pt idx="22">
                  <c:v>0</c:v>
                </c:pt>
                <c:pt idx="23">
                  <c:v>0</c:v>
                </c:pt>
                <c:pt idx="24">
                  <c:v>6.8</c:v>
                </c:pt>
                <c:pt idx="25">
                  <c:v>38.6</c:v>
                </c:pt>
                <c:pt idx="26">
                  <c:v>61.6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1312"/>
        <c:axId val="610861704"/>
      </c:scatterChart>
      <c:valAx>
        <c:axId val="610861312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610861704"/>
        <c:crosses val="autoZero"/>
        <c:crossBetween val="midCat"/>
      </c:valAx>
      <c:valAx>
        <c:axId val="610861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86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436580078017"/>
          <c:y val="4.3514650723106368E-2"/>
          <c:w val="0.75499940665489373"/>
          <c:h val="0.8246522693568301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-3.356572231774145E-2"/>
                  <c:y val="0.51064628583611149"/>
                </c:manualLayout>
              </c:layout>
              <c:numFmt formatCode="General" sourceLinked="0"/>
            </c:trendlineLbl>
          </c:trendline>
          <c:xVal>
            <c:numRef>
              <c:f>'Sheet1 (2)'!$J$2:$J$47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32.299999999999997</c:v>
                </c:pt>
                <c:pt idx="19">
                  <c:v>50.2</c:v>
                </c:pt>
                <c:pt idx="20">
                  <c:v>0</c:v>
                </c:pt>
                <c:pt idx="21">
                  <c:v>0</c:v>
                </c:pt>
                <c:pt idx="22">
                  <c:v>6.8</c:v>
                </c:pt>
                <c:pt idx="23">
                  <c:v>38.6</c:v>
                </c:pt>
                <c:pt idx="24">
                  <c:v>61.6</c:v>
                </c:pt>
                <c:pt idx="27">
                  <c:v>87.5</c:v>
                </c:pt>
                <c:pt idx="28">
                  <c:v>84</c:v>
                </c:pt>
                <c:pt idx="29">
                  <c:v>76</c:v>
                </c:pt>
                <c:pt idx="30">
                  <c:v>0</c:v>
                </c:pt>
                <c:pt idx="31">
                  <c:v>92.5</c:v>
                </c:pt>
                <c:pt idx="32">
                  <c:v>84</c:v>
                </c:pt>
                <c:pt idx="33">
                  <c:v>77</c:v>
                </c:pt>
                <c:pt idx="34">
                  <c:v>2</c:v>
                </c:pt>
                <c:pt idx="35">
                  <c:v>92</c:v>
                </c:pt>
                <c:pt idx="36">
                  <c:v>92</c:v>
                </c:pt>
                <c:pt idx="37">
                  <c:v>88</c:v>
                </c:pt>
                <c:pt idx="38">
                  <c:v>2.5</c:v>
                </c:pt>
                <c:pt idx="39">
                  <c:v>92</c:v>
                </c:pt>
                <c:pt idx="40">
                  <c:v>91</c:v>
                </c:pt>
                <c:pt idx="41">
                  <c:v>89</c:v>
                </c:pt>
                <c:pt idx="42">
                  <c:v>37</c:v>
                </c:pt>
                <c:pt idx="43">
                  <c:v>92</c:v>
                </c:pt>
                <c:pt idx="44">
                  <c:v>91</c:v>
                </c:pt>
                <c:pt idx="45">
                  <c:v>88</c:v>
                </c:pt>
              </c:numCache>
            </c:numRef>
          </c:xVal>
          <c:yVal>
            <c:numRef>
              <c:f>'Sheet1 (2)'!$L$2:$L$47</c:f>
              <c:numCache>
                <c:formatCode>General</c:formatCode>
                <c:ptCount val="46"/>
                <c:pt idx="0">
                  <c:v>0.31872693653637585</c:v>
                </c:pt>
                <c:pt idx="1">
                  <c:v>0.68469791955108106</c:v>
                </c:pt>
                <c:pt idx="2">
                  <c:v>4.8430051041797322</c:v>
                </c:pt>
                <c:pt idx="3">
                  <c:v>0.34307730042304163</c:v>
                </c:pt>
                <c:pt idx="4">
                  <c:v>1.3256004201813054</c:v>
                </c:pt>
                <c:pt idx="5">
                  <c:v>10.3345606597606</c:v>
                </c:pt>
                <c:pt idx="6">
                  <c:v>0.34307730042304163</c:v>
                </c:pt>
                <c:pt idx="7">
                  <c:v>1.8778356210733389</c:v>
                </c:pt>
                <c:pt idx="8">
                  <c:v>1.7192358554319545</c:v>
                </c:pt>
                <c:pt idx="9">
                  <c:v>0.80420109605388179</c:v>
                </c:pt>
                <c:pt idx="10">
                  <c:v>89.991985079108375</c:v>
                </c:pt>
                <c:pt idx="11">
                  <c:v>95.720480496697363</c:v>
                </c:pt>
                <c:pt idx="12">
                  <c:v>0.80420109605388179</c:v>
                </c:pt>
                <c:pt idx="13">
                  <c:v>89.991985079108375</c:v>
                </c:pt>
                <c:pt idx="14">
                  <c:v>95.720480496697363</c:v>
                </c:pt>
                <c:pt idx="15">
                  <c:v>0.39823333939037814</c:v>
                </c:pt>
                <c:pt idx="16">
                  <c:v>0.87247510351149404</c:v>
                </c:pt>
                <c:pt idx="17">
                  <c:v>4.8430051041797322</c:v>
                </c:pt>
                <c:pt idx="18">
                  <c:v>28.870258284338124</c:v>
                </c:pt>
                <c:pt idx="19">
                  <c:v>70.885685411057892</c:v>
                </c:pt>
                <c:pt idx="20">
                  <c:v>0.20747782974848444</c:v>
                </c:pt>
                <c:pt idx="21">
                  <c:v>1.3256004201813054</c:v>
                </c:pt>
                <c:pt idx="22">
                  <c:v>9.2716077158660557</c:v>
                </c:pt>
                <c:pt idx="23">
                  <c:v>25.303294992247967</c:v>
                </c:pt>
                <c:pt idx="24">
                  <c:v>42.637400995855664</c:v>
                </c:pt>
                <c:pt idx="27">
                  <c:v>95.504449215983172</c:v>
                </c:pt>
                <c:pt idx="28">
                  <c:v>87.514195113047251</c:v>
                </c:pt>
                <c:pt idx="29">
                  <c:v>71.844113806805126</c:v>
                </c:pt>
                <c:pt idx="30">
                  <c:v>4.5999204245755481</c:v>
                </c:pt>
                <c:pt idx="31">
                  <c:v>95.521777330708076</c:v>
                </c:pt>
                <c:pt idx="32">
                  <c:v>87.602946451212404</c:v>
                </c:pt>
                <c:pt idx="33">
                  <c:v>72.123034257208289</c:v>
                </c:pt>
                <c:pt idx="34">
                  <c:v>4.9312257416441794</c:v>
                </c:pt>
                <c:pt idx="35">
                  <c:v>95.670936820954807</c:v>
                </c:pt>
                <c:pt idx="36">
                  <c:v>88.354993738859037</c:v>
                </c:pt>
                <c:pt idx="37">
                  <c:v>74.468592568570145</c:v>
                </c:pt>
                <c:pt idx="38">
                  <c:v>8.7556645784968996</c:v>
                </c:pt>
                <c:pt idx="39">
                  <c:v>96.691337278316723</c:v>
                </c:pt>
                <c:pt idx="40">
                  <c:v>92.89313776385552</c:v>
                </c:pt>
                <c:pt idx="41">
                  <c:v>87.498661841366911</c:v>
                </c:pt>
                <c:pt idx="42">
                  <c:v>61.886261579858932</c:v>
                </c:pt>
                <c:pt idx="43">
                  <c:v>98.416169502166838</c:v>
                </c:pt>
                <c:pt idx="44">
                  <c:v>97.942794167466261</c:v>
                </c:pt>
                <c:pt idx="45">
                  <c:v>97.723079018185203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2488"/>
        <c:axId val="610862880"/>
      </c:scatterChart>
      <c:valAx>
        <c:axId val="610862488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Model survival rate (%)</a:t>
                </a:r>
                <a:endParaRPr lang="ja-JP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0862880"/>
        <c:crosses val="autoZero"/>
        <c:crossBetween val="midCat"/>
      </c:valAx>
      <c:valAx>
        <c:axId val="610862880"/>
        <c:scaling>
          <c:orientation val="minMax"/>
          <c:max val="10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Experimental survival rate (%)</a:t>
                </a:r>
                <a:endParaRPr lang="ja-JP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08624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ea typeface="Arial Unicode MS" panose="020B0604020202020204" pitchFamily="50" charset="-128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03407916828549"/>
          <c:y val="3.8853962152368748E-2"/>
          <c:w val="0.80782704291692831"/>
          <c:h val="0.82014859082054614"/>
        </c:manualLayout>
      </c:layout>
      <c:scatterChart>
        <c:scatterStyle val="smoothMarker"/>
        <c:varyColors val="0"/>
        <c:ser>
          <c:idx val="1"/>
          <c:order val="1"/>
          <c:tx>
            <c:v>Experimets (Fabricius et al., 2010)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'Sheet1 (2)'!$I$2:$I$26</c:f>
              <c:numCache>
                <c:formatCode>General</c:formatCode>
                <c:ptCount val="25"/>
                <c:pt idx="0">
                  <c:v>7.0000000000000007E-2</c:v>
                </c:pt>
                <c:pt idx="1">
                  <c:v>0.17</c:v>
                </c:pt>
                <c:pt idx="2">
                  <c:v>0.4</c:v>
                </c:pt>
                <c:pt idx="3">
                  <c:v>0.08</c:v>
                </c:pt>
                <c:pt idx="4">
                  <c:v>0.25</c:v>
                </c:pt>
                <c:pt idx="5">
                  <c:v>0.52</c:v>
                </c:pt>
                <c:pt idx="6">
                  <c:v>0.08</c:v>
                </c:pt>
                <c:pt idx="7">
                  <c:v>0.28999999999999998</c:v>
                </c:pt>
                <c:pt idx="8">
                  <c:v>0.28000000000000003</c:v>
                </c:pt>
                <c:pt idx="9">
                  <c:v>0.19</c:v>
                </c:pt>
                <c:pt idx="10">
                  <c:v>2.91</c:v>
                </c:pt>
                <c:pt idx="11">
                  <c:v>5.25</c:v>
                </c:pt>
                <c:pt idx="12">
                  <c:v>0.19</c:v>
                </c:pt>
                <c:pt idx="13">
                  <c:v>2.91</c:v>
                </c:pt>
                <c:pt idx="14">
                  <c:v>5.25</c:v>
                </c:pt>
                <c:pt idx="15">
                  <c:v>0.1</c:v>
                </c:pt>
                <c:pt idx="16">
                  <c:v>0.2</c:v>
                </c:pt>
                <c:pt idx="17">
                  <c:v>0.4</c:v>
                </c:pt>
                <c:pt idx="18">
                  <c:v>0.8</c:v>
                </c:pt>
                <c:pt idx="19">
                  <c:v>1.6</c:v>
                </c:pt>
                <c:pt idx="20">
                  <c:v>0.01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1</c:v>
                </c:pt>
              </c:numCache>
            </c:numRef>
          </c:xVal>
          <c:yVal>
            <c:numRef>
              <c:f>'Sheet1 (2)'!$J$2:$J$26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18.7</c:v>
                </c:pt>
                <c:pt idx="8">
                  <c:v>0</c:v>
                </c:pt>
                <c:pt idx="9">
                  <c:v>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32.299999999999997</c:v>
                </c:pt>
                <c:pt idx="19">
                  <c:v>50.2</c:v>
                </c:pt>
                <c:pt idx="20">
                  <c:v>0</c:v>
                </c:pt>
                <c:pt idx="21">
                  <c:v>0</c:v>
                </c:pt>
                <c:pt idx="22">
                  <c:v>6.8</c:v>
                </c:pt>
                <c:pt idx="23">
                  <c:v>38.6</c:v>
                </c:pt>
                <c:pt idx="24">
                  <c:v>61.6</c:v>
                </c:pt>
              </c:numCache>
            </c:numRef>
          </c:yVal>
          <c:smooth val="1"/>
        </c:ser>
        <c:ser>
          <c:idx val="0"/>
          <c:order val="0"/>
          <c:tx>
            <c:v>Model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'Sheet1 (2)'!$I$52:$I$141</c:f>
              <c:numCache>
                <c:formatCode>General</c:formatCode>
                <c:ptCount val="90"/>
                <c:pt idx="0">
                  <c:v>0.01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0.04</c:v>
                </c:pt>
                <c:pt idx="4">
                  <c:v>0.06</c:v>
                </c:pt>
                <c:pt idx="5">
                  <c:v>0.1</c:v>
                </c:pt>
                <c:pt idx="6">
                  <c:v>0.15</c:v>
                </c:pt>
                <c:pt idx="7">
                  <c:v>0.25</c:v>
                </c:pt>
                <c:pt idx="8">
                  <c:v>0.4</c:v>
                </c:pt>
                <c:pt idx="9">
                  <c:v>0.6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</c:numCache>
            </c:numRef>
          </c:xVal>
          <c:yVal>
            <c:numRef>
              <c:f>'Sheet1 (2)'!$L$52:$L$141</c:f>
              <c:numCache>
                <c:formatCode>General</c:formatCode>
                <c:ptCount val="90"/>
                <c:pt idx="0">
                  <c:v>0.20747782974848444</c:v>
                </c:pt>
                <c:pt idx="1">
                  <c:v>0.21486472222031167</c:v>
                </c:pt>
                <c:pt idx="2">
                  <c:v>0.23053459620060754</c:v>
                </c:pt>
                <c:pt idx="3">
                  <c:v>0.25648297420922578</c:v>
                </c:pt>
                <c:pt idx="4">
                  <c:v>0.29628358211176037</c:v>
                </c:pt>
                <c:pt idx="5">
                  <c:v>0.39823333939037814</c:v>
                </c:pt>
                <c:pt idx="6">
                  <c:v>0.58455094996941226</c:v>
                </c:pt>
                <c:pt idx="7">
                  <c:v>1.3256004201813054</c:v>
                </c:pt>
                <c:pt idx="8">
                  <c:v>4.8430051041797322</c:v>
                </c:pt>
                <c:pt idx="9">
                  <c:v>15.070808354008127</c:v>
                </c:pt>
                <c:pt idx="10">
                  <c:v>42.637400995855664</c:v>
                </c:pt>
                <c:pt idx="11">
                  <c:v>67.55886336520976</c:v>
                </c:pt>
                <c:pt idx="12">
                  <c:v>80.39262843882959</c:v>
                </c:pt>
                <c:pt idx="13">
                  <c:v>90.497316070168964</c:v>
                </c:pt>
                <c:pt idx="14">
                  <c:v>93.93820403865908</c:v>
                </c:pt>
                <c:pt idx="15">
                  <c:v>95.470241005024292</c:v>
                </c:pt>
                <c:pt idx="16">
                  <c:v>96.292629353604624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3664"/>
        <c:axId val="610864056"/>
      </c:scatterChart>
      <c:valAx>
        <c:axId val="61086366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Chlorophyll (ug L</a:t>
                </a:r>
                <a:r>
                  <a:rPr lang="en-US" altLang="ja-JP" sz="1200" baseline="30000"/>
                  <a:t>-1</a:t>
                </a:r>
                <a:r>
                  <a:rPr lang="en-US" altLang="ja-JP" sz="1200"/>
                  <a:t>)</a:t>
                </a:r>
                <a:endParaRPr lang="ja-JP" altLang="en-US" sz="1200"/>
              </a:p>
            </c:rich>
          </c:tx>
          <c:layout/>
          <c:overlay val="0"/>
        </c:title>
        <c:numFmt formatCode="General" sourceLinked="1"/>
        <c:majorTickMark val="out"/>
        <c:minorTickMark val="out"/>
        <c:tickLblPos val="nextTo"/>
        <c:spPr>
          <a:ln/>
        </c:spPr>
        <c:crossAx val="610864056"/>
        <c:crosses val="autoZero"/>
        <c:crossBetween val="midCat"/>
      </c:valAx>
      <c:valAx>
        <c:axId val="610864056"/>
        <c:scaling>
          <c:orientation val="minMax"/>
          <c:max val="10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Survival rate (%)</a:t>
                </a:r>
                <a:endParaRPr lang="ja-JP" altLang="en-US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0863664"/>
        <c:crossesAt val="1.0000000000000002E-2"/>
        <c:crossBetween val="midCat"/>
      </c:valAx>
    </c:plotArea>
    <c:legend>
      <c:legendPos val="r"/>
      <c:layout>
        <c:manualLayout>
          <c:xMode val="edge"/>
          <c:yMode val="edge"/>
          <c:x val="0.14761123479570351"/>
          <c:y val="4.9940038707685729E-2"/>
          <c:w val="0.68863977664373677"/>
          <c:h val="0.1554344178442806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'Sheet1 (2)'!$K$29:$K$32</c:f>
              <c:numCache>
                <c:formatCode>General</c:formatCode>
                <c:ptCount val="4"/>
                <c:pt idx="0">
                  <c:v>4</c:v>
                </c:pt>
                <c:pt idx="1">
                  <c:v>7</c:v>
                </c:pt>
                <c:pt idx="2">
                  <c:v>10</c:v>
                </c:pt>
                <c:pt idx="3">
                  <c:v>18</c:v>
                </c:pt>
              </c:numCache>
            </c:numRef>
          </c:xVal>
          <c:yVal>
            <c:numRef>
              <c:f>'Sheet1 (2)'!$J$29:$J$32</c:f>
              <c:numCache>
                <c:formatCode>General</c:formatCode>
                <c:ptCount val="4"/>
                <c:pt idx="0">
                  <c:v>87.5</c:v>
                </c:pt>
                <c:pt idx="1">
                  <c:v>84</c:v>
                </c:pt>
                <c:pt idx="2">
                  <c:v>76</c:v>
                </c:pt>
                <c:pt idx="3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'Sheet1 (2)'!$K$33:$K$36</c:f>
              <c:numCache>
                <c:formatCode>General</c:formatCode>
                <c:ptCount val="4"/>
                <c:pt idx="0">
                  <c:v>4</c:v>
                </c:pt>
                <c:pt idx="1">
                  <c:v>7</c:v>
                </c:pt>
                <c:pt idx="2">
                  <c:v>10</c:v>
                </c:pt>
                <c:pt idx="3">
                  <c:v>18</c:v>
                </c:pt>
              </c:numCache>
            </c:numRef>
          </c:xVal>
          <c:yVal>
            <c:numRef>
              <c:f>'Sheet1 (2)'!$J$33:$J$36</c:f>
              <c:numCache>
                <c:formatCode>General</c:formatCode>
                <c:ptCount val="4"/>
                <c:pt idx="0">
                  <c:v>92.5</c:v>
                </c:pt>
                <c:pt idx="1">
                  <c:v>84</c:v>
                </c:pt>
                <c:pt idx="2">
                  <c:v>77</c:v>
                </c:pt>
                <c:pt idx="3">
                  <c:v>2</c:v>
                </c:pt>
              </c:numCache>
            </c:numRef>
          </c:yVal>
          <c:smooth val="0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'Sheet1 (2)'!$K$37:$K$40</c:f>
              <c:numCache>
                <c:formatCode>General</c:formatCode>
                <c:ptCount val="4"/>
                <c:pt idx="0">
                  <c:v>4</c:v>
                </c:pt>
                <c:pt idx="1">
                  <c:v>7</c:v>
                </c:pt>
                <c:pt idx="2">
                  <c:v>10</c:v>
                </c:pt>
                <c:pt idx="3">
                  <c:v>18</c:v>
                </c:pt>
              </c:numCache>
            </c:numRef>
          </c:xVal>
          <c:yVal>
            <c:numRef>
              <c:f>'Sheet1 (2)'!$J$37:$J$40</c:f>
              <c:numCache>
                <c:formatCode>General</c:formatCode>
                <c:ptCount val="4"/>
                <c:pt idx="0">
                  <c:v>92</c:v>
                </c:pt>
                <c:pt idx="1">
                  <c:v>92</c:v>
                </c:pt>
                <c:pt idx="2">
                  <c:v>88</c:v>
                </c:pt>
                <c:pt idx="3">
                  <c:v>2.5</c:v>
                </c:pt>
              </c:numCache>
            </c:numRef>
          </c:yVal>
          <c:smooth val="0"/>
        </c:ser>
        <c:ser>
          <c:idx val="4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'Sheet1 (2)'!$K$41:$K$44</c:f>
              <c:numCache>
                <c:formatCode>General</c:formatCode>
                <c:ptCount val="4"/>
                <c:pt idx="0">
                  <c:v>4</c:v>
                </c:pt>
                <c:pt idx="1">
                  <c:v>7</c:v>
                </c:pt>
                <c:pt idx="2">
                  <c:v>10</c:v>
                </c:pt>
                <c:pt idx="3">
                  <c:v>18</c:v>
                </c:pt>
              </c:numCache>
            </c:numRef>
          </c:xVal>
          <c:yVal>
            <c:numRef>
              <c:f>'Sheet1 (2)'!$J$41:$J$44</c:f>
              <c:numCache>
                <c:formatCode>General</c:formatCode>
                <c:ptCount val="4"/>
                <c:pt idx="0">
                  <c:v>92</c:v>
                </c:pt>
                <c:pt idx="1">
                  <c:v>91</c:v>
                </c:pt>
                <c:pt idx="2">
                  <c:v>89</c:v>
                </c:pt>
                <c:pt idx="3">
                  <c:v>37</c:v>
                </c:pt>
              </c:numCache>
            </c:numRef>
          </c:yVal>
          <c:smooth val="0"/>
        </c:ser>
        <c:ser>
          <c:idx val="0"/>
          <c:order val="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'Sheet1 (2)'!$K$45:$K$48</c:f>
              <c:numCache>
                <c:formatCode>General</c:formatCode>
                <c:ptCount val="4"/>
                <c:pt idx="0">
                  <c:v>4</c:v>
                </c:pt>
                <c:pt idx="1">
                  <c:v>7</c:v>
                </c:pt>
                <c:pt idx="2">
                  <c:v>10</c:v>
                </c:pt>
                <c:pt idx="3">
                  <c:v>18</c:v>
                </c:pt>
              </c:numCache>
            </c:numRef>
          </c:xVal>
          <c:yVal>
            <c:numRef>
              <c:f>'Sheet1 (2)'!$J$45:$J$48</c:f>
              <c:numCache>
                <c:formatCode>General</c:formatCode>
                <c:ptCount val="4"/>
                <c:pt idx="0">
                  <c:v>92</c:v>
                </c:pt>
                <c:pt idx="1">
                  <c:v>91</c:v>
                </c:pt>
                <c:pt idx="2">
                  <c:v>88</c:v>
                </c:pt>
                <c:pt idx="3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4840"/>
        <c:axId val="610865232"/>
      </c:scatterChart>
      <c:valAx>
        <c:axId val="61086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865232"/>
        <c:crosses val="autoZero"/>
        <c:crossBetween val="midCat"/>
      </c:valAx>
      <c:valAx>
        <c:axId val="6108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86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123825</xdr:rowOff>
    </xdr:from>
    <xdr:to>
      <xdr:col>7</xdr:col>
      <xdr:colOff>314325</xdr:colOff>
      <xdr:row>53</xdr:row>
      <xdr:rowOff>138112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53</xdr:row>
      <xdr:rowOff>66675</xdr:rowOff>
    </xdr:from>
    <xdr:to>
      <xdr:col>7</xdr:col>
      <xdr:colOff>314325</xdr:colOff>
      <xdr:row>76</xdr:row>
      <xdr:rowOff>80962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385762</xdr:colOff>
      <xdr:row>7</xdr:row>
      <xdr:rowOff>85725</xdr:rowOff>
    </xdr:from>
    <xdr:to>
      <xdr:col>19</xdr:col>
      <xdr:colOff>157162</xdr:colOff>
      <xdr:row>27</xdr:row>
      <xdr:rowOff>71437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338137</xdr:colOff>
      <xdr:row>28</xdr:row>
      <xdr:rowOff>0</xdr:rowOff>
    </xdr:from>
    <xdr:to>
      <xdr:col>19</xdr:col>
      <xdr:colOff>109537</xdr:colOff>
      <xdr:row>49</xdr:row>
      <xdr:rowOff>28575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123825</xdr:rowOff>
    </xdr:from>
    <xdr:to>
      <xdr:col>5</xdr:col>
      <xdr:colOff>123825</xdr:colOff>
      <xdr:row>53</xdr:row>
      <xdr:rowOff>138112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53</xdr:row>
      <xdr:rowOff>66675</xdr:rowOff>
    </xdr:from>
    <xdr:to>
      <xdr:col>7</xdr:col>
      <xdr:colOff>314325</xdr:colOff>
      <xdr:row>76</xdr:row>
      <xdr:rowOff>80962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566737</xdr:colOff>
      <xdr:row>1</xdr:row>
      <xdr:rowOff>95250</xdr:rowOff>
    </xdr:from>
    <xdr:to>
      <xdr:col>22</xdr:col>
      <xdr:colOff>142875</xdr:colOff>
      <xdr:row>21</xdr:row>
      <xdr:rowOff>80962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152399</xdr:colOff>
      <xdr:row>48</xdr:row>
      <xdr:rowOff>85727</xdr:rowOff>
    </xdr:from>
    <xdr:to>
      <xdr:col>20</xdr:col>
      <xdr:colOff>381000</xdr:colOff>
      <xdr:row>67</xdr:row>
      <xdr:rowOff>28575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495300</xdr:colOff>
      <xdr:row>23</xdr:row>
      <xdr:rowOff>42862</xdr:rowOff>
    </xdr:from>
    <xdr:to>
      <xdr:col>22</xdr:col>
      <xdr:colOff>266700</xdr:colOff>
      <xdr:row>39</xdr:row>
      <xdr:rowOff>42862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18"/>
  <sheetViews>
    <sheetView workbookViewId="0">
      <selection activeCell="J1" sqref="J1"/>
    </sheetView>
  </sheetViews>
  <sheetFormatPr defaultRowHeight="13.5" x14ac:dyDescent="0.15"/>
  <cols>
    <col min="11" max="12" width="12.75" bestFit="1" customWidth="1"/>
  </cols>
  <sheetData>
    <row r="1" spans="1:14" x14ac:dyDescent="0.15">
      <c r="A1" t="s">
        <v>0</v>
      </c>
      <c r="B1" t="s">
        <v>1</v>
      </c>
      <c r="C1" t="s">
        <v>4</v>
      </c>
      <c r="D1" t="s">
        <v>5</v>
      </c>
      <c r="F1" t="s">
        <v>4</v>
      </c>
      <c r="G1" t="s">
        <v>5</v>
      </c>
      <c r="I1" t="s">
        <v>4</v>
      </c>
      <c r="J1" t="s">
        <v>5</v>
      </c>
      <c r="K1" t="s">
        <v>10</v>
      </c>
    </row>
    <row r="2" spans="1:14" x14ac:dyDescent="0.15">
      <c r="A2">
        <v>1</v>
      </c>
      <c r="B2" t="s">
        <v>2</v>
      </c>
      <c r="C2">
        <v>7.0000000000000007E-2</v>
      </c>
      <c r="D2">
        <v>0</v>
      </c>
      <c r="F2">
        <v>7.0000000000000007E-2</v>
      </c>
      <c r="G2">
        <v>0</v>
      </c>
      <c r="I2">
        <v>7.0000000000000007E-2</v>
      </c>
      <c r="J2">
        <v>0</v>
      </c>
      <c r="K2">
        <f>EXP(-$N$3*EXP(-$N$4*I2)*$N$2)*100</f>
        <v>0.92342132545152833</v>
      </c>
      <c r="L2">
        <f>(J2-K2)^2</f>
        <v>0.85270694429865745</v>
      </c>
      <c r="M2" t="s">
        <v>7</v>
      </c>
      <c r="N2">
        <v>20</v>
      </c>
    </row>
    <row r="3" spans="1:14" x14ac:dyDescent="0.15">
      <c r="A3">
        <v>1</v>
      </c>
      <c r="B3" t="s">
        <v>3</v>
      </c>
      <c r="C3">
        <v>0.17</v>
      </c>
      <c r="D3">
        <v>0</v>
      </c>
      <c r="F3">
        <v>0.17</v>
      </c>
      <c r="G3">
        <v>0</v>
      </c>
      <c r="I3">
        <v>0.17</v>
      </c>
      <c r="J3">
        <v>0</v>
      </c>
      <c r="K3">
        <f t="shared" ref="K3:K66" si="0">EXP(-$N$3*EXP(-$N$4*I3)*$N$2)*100</f>
        <v>2.0065087425477026</v>
      </c>
      <c r="L3">
        <f t="shared" ref="L3:L26" si="1">(J3-K3)^2</f>
        <v>4.0260773339203624</v>
      </c>
      <c r="M3" t="s">
        <v>6</v>
      </c>
      <c r="N3">
        <v>0.26590266710755045</v>
      </c>
    </row>
    <row r="4" spans="1:14" x14ac:dyDescent="0.15">
      <c r="A4">
        <v>1</v>
      </c>
      <c r="C4">
        <v>0.4</v>
      </c>
      <c r="D4">
        <v>0</v>
      </c>
      <c r="F4">
        <v>0.4</v>
      </c>
      <c r="G4">
        <v>0</v>
      </c>
      <c r="I4">
        <v>0.4</v>
      </c>
      <c r="J4">
        <v>0</v>
      </c>
      <c r="K4">
        <f t="shared" si="0"/>
        <v>7.599198226572879</v>
      </c>
      <c r="L4">
        <f t="shared" si="1"/>
        <v>57.747813686748387</v>
      </c>
      <c r="M4" t="s">
        <v>9</v>
      </c>
      <c r="N4">
        <v>1.8110798491630309</v>
      </c>
    </row>
    <row r="5" spans="1:14" x14ac:dyDescent="0.15">
      <c r="A5">
        <v>2</v>
      </c>
      <c r="C5">
        <v>0.08</v>
      </c>
      <c r="D5">
        <v>0</v>
      </c>
      <c r="F5">
        <v>0.08</v>
      </c>
      <c r="G5">
        <v>0</v>
      </c>
      <c r="I5">
        <v>0.08</v>
      </c>
      <c r="J5">
        <v>0</v>
      </c>
      <c r="K5">
        <f t="shared" si="0"/>
        <v>1.0044225680280801</v>
      </c>
      <c r="L5">
        <f t="shared" si="1"/>
        <v>1.0088646951641231</v>
      </c>
    </row>
    <row r="6" spans="1:14" x14ac:dyDescent="0.15">
      <c r="A6">
        <v>2</v>
      </c>
      <c r="C6">
        <v>0.25</v>
      </c>
      <c r="D6">
        <v>0</v>
      </c>
      <c r="F6">
        <v>0.25</v>
      </c>
      <c r="G6">
        <v>0</v>
      </c>
      <c r="I6">
        <v>0.25</v>
      </c>
      <c r="J6">
        <v>0</v>
      </c>
      <c r="K6">
        <f t="shared" si="0"/>
        <v>3.3994356881320513</v>
      </c>
      <c r="L6">
        <f t="shared" si="1"/>
        <v>11.556162997745833</v>
      </c>
    </row>
    <row r="7" spans="1:14" x14ac:dyDescent="0.15">
      <c r="A7">
        <v>2</v>
      </c>
      <c r="C7">
        <v>0.52</v>
      </c>
      <c r="D7">
        <v>0</v>
      </c>
      <c r="F7">
        <v>0.52</v>
      </c>
      <c r="G7">
        <v>0</v>
      </c>
      <c r="I7">
        <v>0.52</v>
      </c>
      <c r="J7">
        <v>0</v>
      </c>
      <c r="K7">
        <f t="shared" si="0"/>
        <v>12.571679790792716</v>
      </c>
      <c r="L7">
        <f t="shared" si="1"/>
        <v>158.047132762226</v>
      </c>
    </row>
    <row r="8" spans="1:14" x14ac:dyDescent="0.15">
      <c r="A8">
        <v>3</v>
      </c>
      <c r="C8">
        <v>0.08</v>
      </c>
      <c r="D8">
        <v>0</v>
      </c>
      <c r="F8">
        <v>0.08</v>
      </c>
      <c r="G8">
        <v>0</v>
      </c>
      <c r="I8">
        <v>0.08</v>
      </c>
      <c r="J8">
        <v>0</v>
      </c>
      <c r="K8">
        <f t="shared" si="0"/>
        <v>1.0044225680280801</v>
      </c>
      <c r="L8">
        <f t="shared" si="1"/>
        <v>1.0088646951641231</v>
      </c>
    </row>
    <row r="9" spans="1:14" x14ac:dyDescent="0.15">
      <c r="A9">
        <v>3</v>
      </c>
      <c r="C9">
        <v>0.28999999999999998</v>
      </c>
      <c r="D9">
        <v>18.7</v>
      </c>
      <c r="F9">
        <v>0.28999999999999998</v>
      </c>
      <c r="G9">
        <v>18.7</v>
      </c>
      <c r="I9">
        <v>0.28999999999999998</v>
      </c>
      <c r="J9">
        <v>18.7</v>
      </c>
      <c r="K9">
        <f t="shared" si="0"/>
        <v>4.3056051846541319</v>
      </c>
      <c r="L9">
        <f t="shared" si="1"/>
        <v>207.19860210005598</v>
      </c>
    </row>
    <row r="10" spans="1:14" x14ac:dyDescent="0.15">
      <c r="A10">
        <v>4</v>
      </c>
      <c r="C10">
        <v>0.28000000000000003</v>
      </c>
      <c r="D10">
        <v>0</v>
      </c>
      <c r="F10">
        <v>0.28000000000000003</v>
      </c>
      <c r="G10">
        <v>0</v>
      </c>
      <c r="I10">
        <v>0.28000000000000003</v>
      </c>
      <c r="J10">
        <v>0</v>
      </c>
      <c r="K10">
        <f t="shared" si="0"/>
        <v>4.0650893379591899</v>
      </c>
      <c r="L10">
        <f t="shared" si="1"/>
        <v>16.524951325589484</v>
      </c>
    </row>
    <row r="11" spans="1:14" x14ac:dyDescent="0.15">
      <c r="A11">
        <v>5</v>
      </c>
      <c r="C11">
        <v>0.19</v>
      </c>
      <c r="D11">
        <v>0</v>
      </c>
      <c r="F11">
        <v>0.19</v>
      </c>
      <c r="G11">
        <v>0</v>
      </c>
      <c r="I11">
        <v>0.19</v>
      </c>
      <c r="J11">
        <v>0</v>
      </c>
      <c r="K11">
        <f t="shared" si="0"/>
        <v>2.3058395008398342</v>
      </c>
      <c r="L11">
        <f t="shared" si="1"/>
        <v>5.3168958036332956</v>
      </c>
    </row>
    <row r="12" spans="1:14" x14ac:dyDescent="0.15">
      <c r="A12">
        <v>5</v>
      </c>
      <c r="C12">
        <v>0.28000000000000003</v>
      </c>
      <c r="D12">
        <v>88.3</v>
      </c>
      <c r="F12">
        <v>0.28000000000000003</v>
      </c>
      <c r="I12">
        <v>2.91</v>
      </c>
      <c r="J12">
        <v>100</v>
      </c>
      <c r="K12">
        <f t="shared" si="0"/>
        <v>97.302318700019612</v>
      </c>
      <c r="L12">
        <f t="shared" si="1"/>
        <v>7.277484396263878</v>
      </c>
    </row>
    <row r="13" spans="1:14" x14ac:dyDescent="0.15">
      <c r="A13">
        <v>5</v>
      </c>
      <c r="C13">
        <v>2.91</v>
      </c>
      <c r="D13">
        <v>100</v>
      </c>
      <c r="F13">
        <v>2.91</v>
      </c>
      <c r="G13">
        <v>100</v>
      </c>
      <c r="I13">
        <v>5.25</v>
      </c>
      <c r="J13">
        <v>100</v>
      </c>
      <c r="K13">
        <f t="shared" si="0"/>
        <v>99.960525054760225</v>
      </c>
      <c r="L13">
        <f t="shared" si="1"/>
        <v>1.5582713016832101E-3</v>
      </c>
    </row>
    <row r="14" spans="1:14" x14ac:dyDescent="0.15">
      <c r="A14">
        <v>5</v>
      </c>
      <c r="C14">
        <v>5.25</v>
      </c>
      <c r="D14">
        <v>100</v>
      </c>
      <c r="F14">
        <v>5.25</v>
      </c>
      <c r="G14">
        <v>100</v>
      </c>
      <c r="I14">
        <v>0.19</v>
      </c>
      <c r="J14">
        <v>0</v>
      </c>
      <c r="K14">
        <f t="shared" si="0"/>
        <v>2.3058395008398342</v>
      </c>
      <c r="L14">
        <f t="shared" si="1"/>
        <v>5.3168958036332956</v>
      </c>
    </row>
    <row r="15" spans="1:14" x14ac:dyDescent="0.15">
      <c r="A15">
        <v>6</v>
      </c>
      <c r="C15">
        <v>0.19</v>
      </c>
      <c r="D15">
        <v>0</v>
      </c>
      <c r="F15">
        <v>0.19</v>
      </c>
      <c r="G15">
        <v>0</v>
      </c>
      <c r="I15">
        <v>2.91</v>
      </c>
      <c r="J15">
        <v>99</v>
      </c>
      <c r="K15">
        <f t="shared" si="0"/>
        <v>97.302318700019612</v>
      </c>
      <c r="L15">
        <f t="shared" si="1"/>
        <v>2.8821217963031014</v>
      </c>
    </row>
    <row r="16" spans="1:14" x14ac:dyDescent="0.15">
      <c r="A16">
        <v>6</v>
      </c>
      <c r="C16">
        <v>0.28000000000000003</v>
      </c>
      <c r="D16">
        <v>97.2</v>
      </c>
      <c r="F16">
        <v>0.28000000000000003</v>
      </c>
      <c r="I16">
        <v>5.25</v>
      </c>
      <c r="J16">
        <v>100</v>
      </c>
      <c r="K16">
        <f t="shared" si="0"/>
        <v>99.960525054760225</v>
      </c>
      <c r="L16">
        <f t="shared" si="1"/>
        <v>1.5582713016832101E-3</v>
      </c>
    </row>
    <row r="17" spans="1:12" x14ac:dyDescent="0.15">
      <c r="A17">
        <v>6</v>
      </c>
      <c r="C17">
        <v>2.91</v>
      </c>
      <c r="D17">
        <v>99</v>
      </c>
      <c r="F17">
        <v>2.91</v>
      </c>
      <c r="G17">
        <v>99</v>
      </c>
      <c r="I17">
        <v>0.1</v>
      </c>
      <c r="J17">
        <v>0</v>
      </c>
      <c r="K17">
        <f t="shared" si="0"/>
        <v>1.1830284134137234</v>
      </c>
      <c r="L17">
        <f t="shared" si="1"/>
        <v>1.3995562269441917</v>
      </c>
    </row>
    <row r="18" spans="1:12" x14ac:dyDescent="0.15">
      <c r="A18">
        <v>6</v>
      </c>
      <c r="C18">
        <v>5.25</v>
      </c>
      <c r="D18">
        <v>100</v>
      </c>
      <c r="F18">
        <v>5.25</v>
      </c>
      <c r="G18">
        <v>100</v>
      </c>
      <c r="I18">
        <v>0.2</v>
      </c>
      <c r="J18">
        <v>0</v>
      </c>
      <c r="K18">
        <f t="shared" si="0"/>
        <v>2.467247196473906</v>
      </c>
      <c r="L18">
        <f t="shared" si="1"/>
        <v>6.0873087285083489</v>
      </c>
    </row>
    <row r="19" spans="1:12" x14ac:dyDescent="0.15">
      <c r="A19">
        <v>7</v>
      </c>
      <c r="C19">
        <v>0.1</v>
      </c>
      <c r="D19">
        <v>0</v>
      </c>
      <c r="F19">
        <v>0.1</v>
      </c>
      <c r="G19">
        <v>0</v>
      </c>
      <c r="I19">
        <v>0.4</v>
      </c>
      <c r="J19">
        <v>0</v>
      </c>
      <c r="K19">
        <f t="shared" si="0"/>
        <v>7.599198226572879</v>
      </c>
      <c r="L19">
        <f t="shared" si="1"/>
        <v>57.747813686748387</v>
      </c>
    </row>
    <row r="20" spans="1:12" x14ac:dyDescent="0.15">
      <c r="A20">
        <v>7</v>
      </c>
      <c r="C20">
        <v>0.2</v>
      </c>
      <c r="D20">
        <v>0</v>
      </c>
      <c r="F20">
        <v>0.2</v>
      </c>
      <c r="G20">
        <v>0</v>
      </c>
      <c r="I20">
        <v>0.8</v>
      </c>
      <c r="J20">
        <v>32.299999999999997</v>
      </c>
      <c r="K20">
        <f t="shared" si="0"/>
        <v>28.682718943161706</v>
      </c>
      <c r="L20">
        <f t="shared" si="1"/>
        <v>13.084722244161142</v>
      </c>
    </row>
    <row r="21" spans="1:12" x14ac:dyDescent="0.15">
      <c r="A21">
        <v>7</v>
      </c>
      <c r="C21">
        <v>0.4</v>
      </c>
      <c r="D21">
        <v>0</v>
      </c>
      <c r="F21">
        <v>0.4</v>
      </c>
      <c r="G21">
        <v>0</v>
      </c>
      <c r="I21">
        <v>1.6</v>
      </c>
      <c r="J21">
        <v>50.2</v>
      </c>
      <c r="K21">
        <f t="shared" si="0"/>
        <v>74.581173959779576</v>
      </c>
      <c r="L21">
        <f t="shared" si="1"/>
        <v>594.44164365703352</v>
      </c>
    </row>
    <row r="22" spans="1:12" x14ac:dyDescent="0.15">
      <c r="A22">
        <v>7</v>
      </c>
      <c r="C22">
        <v>0.8</v>
      </c>
      <c r="D22">
        <v>32.299999999999997</v>
      </c>
      <c r="F22">
        <v>0.8</v>
      </c>
      <c r="G22">
        <v>32.299999999999997</v>
      </c>
      <c r="I22">
        <v>0.01</v>
      </c>
      <c r="J22">
        <v>0</v>
      </c>
      <c r="K22">
        <f t="shared" si="0"/>
        <v>0.53932555851634933</v>
      </c>
      <c r="L22">
        <f t="shared" si="1"/>
        <v>0.29087205806897215</v>
      </c>
    </row>
    <row r="23" spans="1:12" x14ac:dyDescent="0.15">
      <c r="A23">
        <v>7</v>
      </c>
      <c r="C23">
        <v>1.6</v>
      </c>
      <c r="D23">
        <v>50.2</v>
      </c>
      <c r="F23">
        <v>1.6</v>
      </c>
      <c r="G23">
        <v>50.2</v>
      </c>
      <c r="I23">
        <v>0.25</v>
      </c>
      <c r="J23">
        <v>0</v>
      </c>
      <c r="K23">
        <f t="shared" si="0"/>
        <v>3.3994356881320513</v>
      </c>
      <c r="L23">
        <f t="shared" si="1"/>
        <v>11.556162997745833</v>
      </c>
    </row>
    <row r="24" spans="1:12" x14ac:dyDescent="0.15">
      <c r="A24">
        <v>8</v>
      </c>
      <c r="C24">
        <v>0.01</v>
      </c>
      <c r="D24">
        <v>0</v>
      </c>
      <c r="F24">
        <v>0.01</v>
      </c>
      <c r="G24">
        <v>0</v>
      </c>
      <c r="I24">
        <v>0.5</v>
      </c>
      <c r="J24">
        <v>6.8</v>
      </c>
      <c r="K24">
        <f t="shared" si="0"/>
        <v>11.645922616733726</v>
      </c>
      <c r="L24">
        <f t="shared" si="1"/>
        <v>23.482966007371445</v>
      </c>
    </row>
    <row r="25" spans="1:12" x14ac:dyDescent="0.15">
      <c r="A25">
        <v>8</v>
      </c>
      <c r="C25">
        <v>0.25</v>
      </c>
      <c r="D25">
        <v>0</v>
      </c>
      <c r="F25">
        <v>0.25</v>
      </c>
      <c r="G25">
        <v>0</v>
      </c>
      <c r="I25">
        <v>0.75</v>
      </c>
      <c r="J25">
        <v>38.6</v>
      </c>
      <c r="K25">
        <f t="shared" si="0"/>
        <v>25.480810437449939</v>
      </c>
      <c r="L25">
        <f t="shared" si="1"/>
        <v>172.11313477812249</v>
      </c>
    </row>
    <row r="26" spans="1:12" x14ac:dyDescent="0.15">
      <c r="A26">
        <v>8</v>
      </c>
      <c r="C26">
        <v>0.5</v>
      </c>
      <c r="D26">
        <v>6.8</v>
      </c>
      <c r="F26">
        <v>0.5</v>
      </c>
      <c r="G26">
        <v>6.8</v>
      </c>
      <c r="I26">
        <v>1</v>
      </c>
      <c r="J26">
        <v>61.6</v>
      </c>
      <c r="K26">
        <f t="shared" si="0"/>
        <v>41.921049078507863</v>
      </c>
      <c r="L26">
        <f t="shared" si="1"/>
        <v>387.26110937049629</v>
      </c>
    </row>
    <row r="27" spans="1:12" x14ac:dyDescent="0.15">
      <c r="A27">
        <v>8</v>
      </c>
      <c r="C27">
        <v>0.75</v>
      </c>
      <c r="D27">
        <v>38.6</v>
      </c>
      <c r="F27">
        <v>0.75</v>
      </c>
      <c r="G27">
        <v>38.6</v>
      </c>
      <c r="L27" t="s">
        <v>8</v>
      </c>
    </row>
    <row r="28" spans="1:12" x14ac:dyDescent="0.15">
      <c r="A28">
        <v>8</v>
      </c>
      <c r="C28">
        <v>1</v>
      </c>
      <c r="D28">
        <v>61.6</v>
      </c>
      <c r="F28">
        <v>1</v>
      </c>
      <c r="G28">
        <v>61.6</v>
      </c>
      <c r="L28">
        <f>SUM(L2:L26)</f>
        <v>1746.2329806385508</v>
      </c>
    </row>
    <row r="29" spans="1:12" x14ac:dyDescent="0.15">
      <c r="I29">
        <v>0.01</v>
      </c>
      <c r="K29">
        <f t="shared" si="0"/>
        <v>0.53932555851634933</v>
      </c>
    </row>
    <row r="30" spans="1:12" x14ac:dyDescent="0.15">
      <c r="I30">
        <v>0.08</v>
      </c>
      <c r="K30">
        <f t="shared" si="0"/>
        <v>1.0044225680280801</v>
      </c>
    </row>
    <row r="31" spans="1:12" x14ac:dyDescent="0.15">
      <c r="I31">
        <v>0.15</v>
      </c>
      <c r="K31">
        <f t="shared" si="0"/>
        <v>1.737103079360236</v>
      </c>
    </row>
    <row r="32" spans="1:12" x14ac:dyDescent="0.15">
      <c r="I32">
        <v>0.22</v>
      </c>
      <c r="K32">
        <f t="shared" si="0"/>
        <v>2.8145385227871045</v>
      </c>
    </row>
    <row r="33" spans="9:11" x14ac:dyDescent="0.15">
      <c r="I33">
        <v>0.28999999999999998</v>
      </c>
      <c r="K33">
        <f t="shared" si="0"/>
        <v>4.3056051846541319</v>
      </c>
    </row>
    <row r="34" spans="9:11" x14ac:dyDescent="0.15">
      <c r="I34">
        <v>0.36</v>
      </c>
      <c r="K34">
        <f t="shared" si="0"/>
        <v>6.2614932886197776</v>
      </c>
    </row>
    <row r="35" spans="9:11" x14ac:dyDescent="0.15">
      <c r="I35">
        <v>0.43</v>
      </c>
      <c r="K35">
        <f t="shared" si="0"/>
        <v>8.7087508563319034</v>
      </c>
    </row>
    <row r="36" spans="9:11" x14ac:dyDescent="0.15">
      <c r="I36">
        <v>0.5</v>
      </c>
      <c r="K36">
        <f t="shared" si="0"/>
        <v>11.645922616733726</v>
      </c>
    </row>
    <row r="37" spans="9:11" x14ac:dyDescent="0.15">
      <c r="I37">
        <v>0.56999999999999995</v>
      </c>
      <c r="K37">
        <f t="shared" si="0"/>
        <v>15.043999896794173</v>
      </c>
    </row>
    <row r="38" spans="9:11" x14ac:dyDescent="0.15">
      <c r="I38">
        <v>0.64</v>
      </c>
      <c r="K38">
        <f t="shared" si="0"/>
        <v>18.850096078206459</v>
      </c>
    </row>
    <row r="39" spans="9:11" x14ac:dyDescent="0.15">
      <c r="I39">
        <v>0.71</v>
      </c>
      <c r="K39">
        <f t="shared" si="0"/>
        <v>22.99328434237438</v>
      </c>
    </row>
    <row r="40" spans="9:11" x14ac:dyDescent="0.15">
      <c r="I40">
        <v>0.78</v>
      </c>
      <c r="K40">
        <f t="shared" si="0"/>
        <v>27.391405789497004</v>
      </c>
    </row>
    <row r="41" spans="9:11" x14ac:dyDescent="0.15">
      <c r="I41">
        <v>0.85</v>
      </c>
      <c r="K41">
        <f t="shared" si="0"/>
        <v>31.957796763511148</v>
      </c>
    </row>
    <row r="42" spans="9:11" x14ac:dyDescent="0.15">
      <c r="I42">
        <v>0.92</v>
      </c>
      <c r="K42">
        <f t="shared" si="0"/>
        <v>36.607173963705094</v>
      </c>
    </row>
    <row r="43" spans="9:11" x14ac:dyDescent="0.15">
      <c r="I43">
        <v>0.99</v>
      </c>
      <c r="K43">
        <f t="shared" si="0"/>
        <v>41.260243831753975</v>
      </c>
    </row>
    <row r="44" spans="9:11" x14ac:dyDescent="0.15">
      <c r="I44">
        <v>1.06</v>
      </c>
      <c r="K44">
        <f t="shared" si="0"/>
        <v>45.846892488720606</v>
      </c>
    </row>
    <row r="45" spans="9:11" x14ac:dyDescent="0.15">
      <c r="I45">
        <v>1.1299999999999999</v>
      </c>
      <c r="K45">
        <f t="shared" si="0"/>
        <v>50.308026386546992</v>
      </c>
    </row>
    <row r="46" spans="9:11" x14ac:dyDescent="0.15">
      <c r="I46">
        <v>1.2</v>
      </c>
      <c r="K46">
        <f t="shared" si="0"/>
        <v>54.596264496886974</v>
      </c>
    </row>
    <row r="47" spans="9:11" x14ac:dyDescent="0.15">
      <c r="I47">
        <v>1.27</v>
      </c>
      <c r="K47">
        <f t="shared" si="0"/>
        <v>58.675741517979638</v>
      </c>
    </row>
    <row r="48" spans="9:11" x14ac:dyDescent="0.15">
      <c r="I48">
        <v>1.34</v>
      </c>
      <c r="K48">
        <f t="shared" si="0"/>
        <v>62.52128743019901</v>
      </c>
    </row>
    <row r="49" spans="9:11" x14ac:dyDescent="0.15">
      <c r="I49">
        <v>1.41</v>
      </c>
      <c r="K49">
        <f t="shared" si="0"/>
        <v>66.117221625210618</v>
      </c>
    </row>
    <row r="50" spans="9:11" x14ac:dyDescent="0.15">
      <c r="I50">
        <v>1.48</v>
      </c>
      <c r="K50">
        <f t="shared" si="0"/>
        <v>69.455956356793578</v>
      </c>
    </row>
    <row r="51" spans="9:11" x14ac:dyDescent="0.15">
      <c r="I51">
        <v>1.55</v>
      </c>
      <c r="K51">
        <f t="shared" si="0"/>
        <v>72.536556349667876</v>
      </c>
    </row>
    <row r="52" spans="9:11" x14ac:dyDescent="0.15">
      <c r="I52">
        <v>1.62</v>
      </c>
      <c r="K52">
        <f t="shared" si="0"/>
        <v>75.363356509344811</v>
      </c>
    </row>
    <row r="53" spans="9:11" x14ac:dyDescent="0.15">
      <c r="I53">
        <v>1.69</v>
      </c>
      <c r="K53">
        <f t="shared" si="0"/>
        <v>77.944701659829121</v>
      </c>
    </row>
    <row r="54" spans="9:11" x14ac:dyDescent="0.15">
      <c r="I54">
        <v>1.76</v>
      </c>
      <c r="K54">
        <f t="shared" si="0"/>
        <v>80.291842432088416</v>
      </c>
    </row>
    <row r="55" spans="9:11" x14ac:dyDescent="0.15">
      <c r="I55">
        <v>1.83</v>
      </c>
      <c r="K55">
        <f t="shared" si="0"/>
        <v>82.417999608772845</v>
      </c>
    </row>
    <row r="56" spans="9:11" x14ac:dyDescent="0.15">
      <c r="I56">
        <v>1.9</v>
      </c>
      <c r="K56">
        <f t="shared" si="0"/>
        <v>84.337594352926487</v>
      </c>
    </row>
    <row r="57" spans="9:11" x14ac:dyDescent="0.15">
      <c r="I57">
        <v>1.97</v>
      </c>
      <c r="K57">
        <f t="shared" si="0"/>
        <v>86.065632448245651</v>
      </c>
    </row>
    <row r="58" spans="9:11" x14ac:dyDescent="0.15">
      <c r="I58">
        <v>2.04</v>
      </c>
      <c r="K58">
        <f t="shared" si="0"/>
        <v>87.617225586636906</v>
      </c>
    </row>
    <row r="59" spans="9:11" x14ac:dyDescent="0.15">
      <c r="I59">
        <v>2.11</v>
      </c>
      <c r="K59">
        <f t="shared" si="0"/>
        <v>89.007230641847016</v>
      </c>
    </row>
    <row r="60" spans="9:11" x14ac:dyDescent="0.15">
      <c r="I60">
        <v>2.1800000000000002</v>
      </c>
      <c r="K60">
        <f t="shared" si="0"/>
        <v>90.24998777359076</v>
      </c>
    </row>
    <row r="61" spans="9:11" x14ac:dyDescent="0.15">
      <c r="I61">
        <v>2.25</v>
      </c>
      <c r="K61">
        <f t="shared" si="0"/>
        <v>91.359139351707114</v>
      </c>
    </row>
    <row r="62" spans="9:11" x14ac:dyDescent="0.15">
      <c r="I62">
        <v>2.3199999999999998</v>
      </c>
      <c r="K62">
        <f t="shared" si="0"/>
        <v>92.347513517380804</v>
      </c>
    </row>
    <row r="63" spans="9:11" x14ac:dyDescent="0.15">
      <c r="I63">
        <v>2.39</v>
      </c>
      <c r="K63">
        <f t="shared" si="0"/>
        <v>93.227058321892045</v>
      </c>
    </row>
    <row r="64" spans="9:11" x14ac:dyDescent="0.15">
      <c r="I64">
        <v>2.46</v>
      </c>
      <c r="K64">
        <f t="shared" si="0"/>
        <v>94.008814549128942</v>
      </c>
    </row>
    <row r="65" spans="9:11" x14ac:dyDescent="0.15">
      <c r="I65">
        <v>2.5299999999999998</v>
      </c>
      <c r="K65">
        <f t="shared" si="0"/>
        <v>94.702917381245427</v>
      </c>
    </row>
    <row r="66" spans="9:11" x14ac:dyDescent="0.15">
      <c r="I66">
        <v>2.6</v>
      </c>
      <c r="K66">
        <f t="shared" si="0"/>
        <v>95.318618922388254</v>
      </c>
    </row>
    <row r="67" spans="9:11" x14ac:dyDescent="0.15">
      <c r="I67">
        <v>2.67</v>
      </c>
      <c r="K67">
        <f t="shared" ref="K67:K118" si="2">EXP(-$N$3*EXP(-$N$4*I67)*$N$2)*100</f>
        <v>95.864325215849135</v>
      </c>
    </row>
    <row r="68" spans="9:11" x14ac:dyDescent="0.15">
      <c r="I68">
        <v>2.74</v>
      </c>
      <c r="K68">
        <f t="shared" si="2"/>
        <v>96.347642768431754</v>
      </c>
    </row>
    <row r="69" spans="9:11" x14ac:dyDescent="0.15">
      <c r="I69">
        <v>2.81</v>
      </c>
      <c r="K69">
        <f t="shared" si="2"/>
        <v>96.775430743819896</v>
      </c>
    </row>
    <row r="70" spans="9:11" x14ac:dyDescent="0.15">
      <c r="I70">
        <v>2.88</v>
      </c>
      <c r="K70">
        <f t="shared" si="2"/>
        <v>97.153855925878389</v>
      </c>
    </row>
    <row r="71" spans="9:11" x14ac:dyDescent="0.15">
      <c r="I71">
        <v>2.95</v>
      </c>
      <c r="K71">
        <f t="shared" si="2"/>
        <v>97.488448309114276</v>
      </c>
    </row>
    <row r="72" spans="9:11" x14ac:dyDescent="0.15">
      <c r="I72">
        <v>3.02</v>
      </c>
      <c r="K72">
        <f t="shared" si="2"/>
        <v>97.784155773836872</v>
      </c>
    </row>
    <row r="73" spans="9:11" x14ac:dyDescent="0.15">
      <c r="I73">
        <v>3.09</v>
      </c>
      <c r="K73">
        <f t="shared" si="2"/>
        <v>98.045396773487852</v>
      </c>
    </row>
    <row r="74" spans="9:11" x14ac:dyDescent="0.15">
      <c r="I74">
        <v>3.16</v>
      </c>
      <c r="K74">
        <f t="shared" si="2"/>
        <v>98.276110324390359</v>
      </c>
    </row>
    <row r="75" spans="9:11" x14ac:dyDescent="0.15">
      <c r="I75">
        <v>3.23</v>
      </c>
      <c r="K75">
        <f t="shared" si="2"/>
        <v>98.479802864131898</v>
      </c>
    </row>
    <row r="76" spans="9:11" x14ac:dyDescent="0.15">
      <c r="I76">
        <v>3.3</v>
      </c>
      <c r="K76">
        <f t="shared" si="2"/>
        <v>98.659591751318885</v>
      </c>
    </row>
    <row r="77" spans="9:11" x14ac:dyDescent="0.15">
      <c r="I77">
        <v>3.37</v>
      </c>
      <c r="K77">
        <f t="shared" si="2"/>
        <v>98.81824533106915</v>
      </c>
    </row>
    <row r="78" spans="9:11" x14ac:dyDescent="0.15">
      <c r="I78">
        <v>3.44</v>
      </c>
      <c r="K78">
        <f t="shared" si="2"/>
        <v>98.958219599323769</v>
      </c>
    </row>
    <row r="79" spans="9:11" x14ac:dyDescent="0.15">
      <c r="I79">
        <v>3.51</v>
      </c>
      <c r="K79">
        <f t="shared" si="2"/>
        <v>99.081691574605145</v>
      </c>
    </row>
    <row r="80" spans="9:11" x14ac:dyDescent="0.15">
      <c r="I80">
        <v>3.58</v>
      </c>
      <c r="K80">
        <f t="shared" si="2"/>
        <v>99.190589536053992</v>
      </c>
    </row>
    <row r="81" spans="9:11" x14ac:dyDescent="0.15">
      <c r="I81">
        <v>3.65</v>
      </c>
      <c r="K81">
        <f t="shared" si="2"/>
        <v>99.286620317671606</v>
      </c>
    </row>
    <row r="82" spans="9:11" x14ac:dyDescent="0.15">
      <c r="I82">
        <v>3.72</v>
      </c>
      <c r="K82">
        <f t="shared" si="2"/>
        <v>99.371293865579005</v>
      </c>
    </row>
    <row r="83" spans="9:11" x14ac:dyDescent="0.15">
      <c r="I83">
        <v>3.79</v>
      </c>
      <c r="K83">
        <f t="shared" si="2"/>
        <v>99.445945271611762</v>
      </c>
    </row>
    <row r="84" spans="9:11" x14ac:dyDescent="0.15">
      <c r="I84">
        <v>3.86</v>
      </c>
      <c r="K84">
        <f t="shared" si="2"/>
        <v>99.511754495658849</v>
      </c>
    </row>
    <row r="85" spans="9:11" x14ac:dyDescent="0.15">
      <c r="I85">
        <v>3.93</v>
      </c>
      <c r="K85">
        <f t="shared" si="2"/>
        <v>99.56976398309267</v>
      </c>
    </row>
    <row r="86" spans="9:11" x14ac:dyDescent="0.15">
      <c r="I86">
        <v>4</v>
      </c>
      <c r="K86">
        <f t="shared" si="2"/>
        <v>99.620894374148278</v>
      </c>
    </row>
    <row r="87" spans="9:11" x14ac:dyDescent="0.15">
      <c r="I87">
        <v>4.07</v>
      </c>
      <c r="K87">
        <f t="shared" si="2"/>
        <v>99.665958490478374</v>
      </c>
    </row>
    <row r="88" spans="9:11" x14ac:dyDescent="0.15">
      <c r="I88">
        <v>4.1399999999999997</v>
      </c>
      <c r="K88">
        <f t="shared" si="2"/>
        <v>99.705673771294514</v>
      </c>
    </row>
    <row r="89" spans="9:11" x14ac:dyDescent="0.15">
      <c r="I89">
        <v>4.21</v>
      </c>
      <c r="K89">
        <f t="shared" si="2"/>
        <v>99.740673318195149</v>
      </c>
    </row>
    <row r="90" spans="9:11" x14ac:dyDescent="0.15">
      <c r="I90">
        <v>4.28</v>
      </c>
      <c r="K90">
        <f t="shared" si="2"/>
        <v>99.771515694474104</v>
      </c>
    </row>
    <row r="91" spans="9:11" x14ac:dyDescent="0.15">
      <c r="I91">
        <v>4.3499999999999996</v>
      </c>
      <c r="K91">
        <f t="shared" si="2"/>
        <v>99.798693611741996</v>
      </c>
    </row>
    <row r="92" spans="9:11" x14ac:dyDescent="0.15">
      <c r="I92">
        <v>4.42</v>
      </c>
      <c r="K92">
        <f t="shared" si="2"/>
        <v>99.822641624306314</v>
      </c>
    </row>
    <row r="93" spans="9:11" x14ac:dyDescent="0.15">
      <c r="I93">
        <v>4.49</v>
      </c>
      <c r="K93">
        <f t="shared" si="2"/>
        <v>99.84374294008677</v>
      </c>
    </row>
    <row r="94" spans="9:11" x14ac:dyDescent="0.15">
      <c r="I94">
        <v>4.5599999999999996</v>
      </c>
      <c r="K94">
        <f t="shared" si="2"/>
        <v>99.862335445972462</v>
      </c>
    </row>
    <row r="95" spans="9:11" x14ac:dyDescent="0.15">
      <c r="I95">
        <v>4.63</v>
      </c>
      <c r="K95">
        <f t="shared" si="2"/>
        <v>99.878717035490297</v>
      </c>
    </row>
    <row r="96" spans="9:11" x14ac:dyDescent="0.15">
      <c r="I96">
        <v>4.7</v>
      </c>
      <c r="K96">
        <f t="shared" si="2"/>
        <v>99.893150317452609</v>
      </c>
    </row>
    <row r="97" spans="9:11" x14ac:dyDescent="0.15">
      <c r="I97">
        <v>4.7699999999999996</v>
      </c>
      <c r="K97">
        <f t="shared" si="2"/>
        <v>99.90586677586667</v>
      </c>
    </row>
    <row r="98" spans="9:11" x14ac:dyDescent="0.15">
      <c r="I98">
        <v>4.84</v>
      </c>
      <c r="K98">
        <f t="shared" si="2"/>
        <v>99.917070443782961</v>
      </c>
    </row>
    <row r="99" spans="9:11" x14ac:dyDescent="0.15">
      <c r="I99">
        <v>4.91</v>
      </c>
      <c r="K99">
        <f t="shared" si="2"/>
        <v>99.926941146889817</v>
      </c>
    </row>
    <row r="100" spans="9:11" x14ac:dyDescent="0.15">
      <c r="I100">
        <v>4.9800000000000004</v>
      </c>
      <c r="K100">
        <f t="shared" si="2"/>
        <v>99.935637366478332</v>
      </c>
    </row>
    <row r="101" spans="9:11" x14ac:dyDescent="0.15">
      <c r="I101">
        <v>5.05</v>
      </c>
      <c r="K101">
        <f t="shared" si="2"/>
        <v>99.943298765851452</v>
      </c>
    </row>
    <row r="102" spans="9:11" x14ac:dyDescent="0.15">
      <c r="I102">
        <v>5.12</v>
      </c>
      <c r="K102">
        <f t="shared" si="2"/>
        <v>99.950048419281217</v>
      </c>
    </row>
    <row r="103" spans="9:11" x14ac:dyDescent="0.15">
      <c r="I103">
        <v>5.19</v>
      </c>
      <c r="K103">
        <f t="shared" si="2"/>
        <v>99.955994778179601</v>
      </c>
    </row>
    <row r="104" spans="9:11" x14ac:dyDescent="0.15">
      <c r="I104">
        <v>5.26</v>
      </c>
      <c r="K104">
        <f t="shared" si="2"/>
        <v>99.961233405187784</v>
      </c>
    </row>
    <row r="105" spans="9:11" x14ac:dyDescent="0.15">
      <c r="I105">
        <v>5.33</v>
      </c>
      <c r="K105">
        <f t="shared" si="2"/>
        <v>99.965848503364313</v>
      </c>
    </row>
    <row r="106" spans="9:11" x14ac:dyDescent="0.15">
      <c r="I106">
        <v>5.4</v>
      </c>
      <c r="K106">
        <f t="shared" si="2"/>
        <v>99.969914264516831</v>
      </c>
    </row>
    <row r="107" spans="9:11" x14ac:dyDescent="0.15">
      <c r="I107">
        <v>5.47</v>
      </c>
      <c r="K107">
        <f t="shared" si="2"/>
        <v>99.973496057938604</v>
      </c>
    </row>
    <row r="108" spans="9:11" x14ac:dyDescent="0.15">
      <c r="I108">
        <v>5.54</v>
      </c>
      <c r="K108">
        <f t="shared" si="2"/>
        <v>99.976651478340088</v>
      </c>
    </row>
    <row r="109" spans="9:11" x14ac:dyDescent="0.15">
      <c r="I109">
        <v>5.61</v>
      </c>
      <c r="K109">
        <f t="shared" si="2"/>
        <v>99.979431269576295</v>
      </c>
    </row>
    <row r="110" spans="9:11" x14ac:dyDescent="0.15">
      <c r="I110">
        <v>5.68</v>
      </c>
      <c r="K110">
        <f t="shared" si="2"/>
        <v>99.981880138830846</v>
      </c>
    </row>
    <row r="111" spans="9:11" x14ac:dyDescent="0.15">
      <c r="I111">
        <v>5.75</v>
      </c>
      <c r="K111">
        <f t="shared" si="2"/>
        <v>99.984037474200633</v>
      </c>
    </row>
    <row r="112" spans="9:11" x14ac:dyDescent="0.15">
      <c r="I112">
        <v>5.82</v>
      </c>
      <c r="K112">
        <f t="shared" si="2"/>
        <v>99.985937977105749</v>
      </c>
    </row>
    <row r="113" spans="9:11" x14ac:dyDescent="0.15">
      <c r="I113">
        <v>5.89</v>
      </c>
      <c r="K113">
        <f t="shared" si="2"/>
        <v>99.98761221960693</v>
      </c>
    </row>
    <row r="114" spans="9:11" x14ac:dyDescent="0.15">
      <c r="I114">
        <v>5.96</v>
      </c>
      <c r="K114">
        <f t="shared" si="2"/>
        <v>99.989087135524585</v>
      </c>
    </row>
    <row r="115" spans="9:11" x14ac:dyDescent="0.15">
      <c r="I115">
        <v>6.03</v>
      </c>
      <c r="K115">
        <f t="shared" si="2"/>
        <v>99.990386453206284</v>
      </c>
    </row>
    <row r="116" spans="9:11" x14ac:dyDescent="0.15">
      <c r="I116">
        <v>6.1</v>
      </c>
      <c r="K116">
        <f t="shared" si="2"/>
        <v>99.991531076861861</v>
      </c>
    </row>
    <row r="117" spans="9:11" x14ac:dyDescent="0.15">
      <c r="I117">
        <v>6.17</v>
      </c>
      <c r="K117">
        <f t="shared" si="2"/>
        <v>99.992539422568925</v>
      </c>
    </row>
    <row r="118" spans="9:11" x14ac:dyDescent="0.15">
      <c r="I118">
        <v>6.24</v>
      </c>
      <c r="K118">
        <f t="shared" si="2"/>
        <v>99.993427714328988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8"/>
  <sheetViews>
    <sheetView tabSelected="1" topLeftCell="H19" workbookViewId="0">
      <selection activeCell="Z27" sqref="Z27"/>
    </sheetView>
  </sheetViews>
  <sheetFormatPr defaultRowHeight="13.5" x14ac:dyDescent="0.15"/>
  <cols>
    <col min="12" max="13" width="12.75" bestFit="1" customWidth="1"/>
  </cols>
  <sheetData>
    <row r="1" spans="1:16" x14ac:dyDescent="0.15">
      <c r="A1" t="s">
        <v>0</v>
      </c>
      <c r="B1" t="s">
        <v>1</v>
      </c>
      <c r="C1" t="s">
        <v>4</v>
      </c>
      <c r="D1" t="s">
        <v>5</v>
      </c>
      <c r="F1" t="s">
        <v>4</v>
      </c>
      <c r="G1" t="s">
        <v>5</v>
      </c>
      <c r="I1" t="s">
        <v>4</v>
      </c>
      <c r="J1" t="s">
        <v>5</v>
      </c>
      <c r="L1" t="s">
        <v>16</v>
      </c>
    </row>
    <row r="2" spans="1:16" x14ac:dyDescent="0.15">
      <c r="A2">
        <v>1</v>
      </c>
      <c r="B2" t="s">
        <v>2</v>
      </c>
      <c r="C2">
        <v>7.0000000000000007E-2</v>
      </c>
      <c r="D2">
        <v>0</v>
      </c>
      <c r="F2">
        <v>7.0000000000000007E-2</v>
      </c>
      <c r="G2">
        <v>0</v>
      </c>
      <c r="I2">
        <v>7.0000000000000007E-2</v>
      </c>
      <c r="J2">
        <v>0</v>
      </c>
      <c r="K2">
        <v>22</v>
      </c>
      <c r="L2">
        <f>COTS_survival_rate(I2,K2,$O$2,$O$3,$O$4,$O$5,$O$6)</f>
        <v>0.31872693653637585</v>
      </c>
      <c r="M2">
        <f>(J2-L2)^2</f>
        <v>0.10158686007386296</v>
      </c>
      <c r="N2" t="s">
        <v>11</v>
      </c>
      <c r="O2">
        <v>0.15872883578045804</v>
      </c>
      <c r="P2" t="s">
        <v>18</v>
      </c>
    </row>
    <row r="3" spans="1:16" x14ac:dyDescent="0.15">
      <c r="A3">
        <v>1</v>
      </c>
      <c r="B3" t="s">
        <v>3</v>
      </c>
      <c r="C3">
        <v>0.17</v>
      </c>
      <c r="D3">
        <v>0</v>
      </c>
      <c r="F3">
        <v>0.17</v>
      </c>
      <c r="G3">
        <v>0</v>
      </c>
      <c r="I3">
        <v>0.17</v>
      </c>
      <c r="J3">
        <v>0</v>
      </c>
      <c r="K3">
        <v>22</v>
      </c>
      <c r="L3">
        <f t="shared" ref="L3:L68" si="0">COTS_survival_rate(I3,K3,$O$2,$O$3,$O$4,$O$5,$O$6)</f>
        <v>0.68469791955108106</v>
      </c>
      <c r="M3">
        <f t="shared" ref="M3:M48" si="1">(J3-L3)^2</f>
        <v>0.46881124103757865</v>
      </c>
      <c r="N3" t="s">
        <v>12</v>
      </c>
      <c r="O3">
        <v>4.5501818909173899</v>
      </c>
      <c r="P3" t="s">
        <v>19</v>
      </c>
    </row>
    <row r="4" spans="1:16" x14ac:dyDescent="0.15">
      <c r="A4">
        <v>1</v>
      </c>
      <c r="C4">
        <v>0.4</v>
      </c>
      <c r="D4">
        <v>0</v>
      </c>
      <c r="F4">
        <v>0.4</v>
      </c>
      <c r="G4">
        <v>0</v>
      </c>
      <c r="I4">
        <v>0.4</v>
      </c>
      <c r="J4">
        <v>0</v>
      </c>
      <c r="K4">
        <v>22</v>
      </c>
      <c r="L4">
        <f t="shared" si="0"/>
        <v>4.8430051041797322</v>
      </c>
      <c r="M4">
        <f t="shared" si="1"/>
        <v>23.454698439110938</v>
      </c>
      <c r="N4" t="s">
        <v>13</v>
      </c>
      <c r="O4">
        <v>5.6291074061059827E-2</v>
      </c>
      <c r="P4" t="s">
        <v>20</v>
      </c>
    </row>
    <row r="5" spans="1:16" x14ac:dyDescent="0.15">
      <c r="A5">
        <v>2</v>
      </c>
      <c r="C5">
        <v>0.08</v>
      </c>
      <c r="D5">
        <v>0</v>
      </c>
      <c r="F5">
        <v>0.08</v>
      </c>
      <c r="G5">
        <v>0</v>
      </c>
      <c r="I5">
        <v>0.08</v>
      </c>
      <c r="J5">
        <v>0</v>
      </c>
      <c r="K5">
        <v>22</v>
      </c>
      <c r="L5">
        <f t="shared" si="0"/>
        <v>0.34307730042304163</v>
      </c>
      <c r="M5">
        <f t="shared" si="1"/>
        <v>0.11770203406556196</v>
      </c>
      <c r="N5" t="s">
        <v>14</v>
      </c>
      <c r="O5">
        <v>4.8234112966695974</v>
      </c>
      <c r="P5" t="s">
        <v>21</v>
      </c>
    </row>
    <row r="6" spans="1:16" x14ac:dyDescent="0.15">
      <c r="A6">
        <v>2</v>
      </c>
      <c r="C6">
        <v>0.25</v>
      </c>
      <c r="D6">
        <v>0</v>
      </c>
      <c r="F6">
        <v>0.25</v>
      </c>
      <c r="G6">
        <v>0</v>
      </c>
      <c r="I6">
        <v>0.25</v>
      </c>
      <c r="J6">
        <v>0</v>
      </c>
      <c r="K6">
        <v>22</v>
      </c>
      <c r="L6">
        <f t="shared" si="0"/>
        <v>1.3256004201813054</v>
      </c>
      <c r="M6">
        <f t="shared" si="1"/>
        <v>1.7572164739848535</v>
      </c>
      <c r="N6" t="s">
        <v>15</v>
      </c>
      <c r="O6">
        <v>0.79176598173920543</v>
      </c>
      <c r="P6" t="s">
        <v>22</v>
      </c>
    </row>
    <row r="7" spans="1:16" x14ac:dyDescent="0.15">
      <c r="A7">
        <v>2</v>
      </c>
      <c r="C7">
        <v>0.52</v>
      </c>
      <c r="D7">
        <v>0</v>
      </c>
      <c r="F7">
        <v>0.52</v>
      </c>
      <c r="G7">
        <v>0</v>
      </c>
      <c r="I7">
        <v>0.52</v>
      </c>
      <c r="J7">
        <v>0</v>
      </c>
      <c r="K7">
        <v>22</v>
      </c>
      <c r="L7">
        <f t="shared" si="0"/>
        <v>10.3345606597606</v>
      </c>
      <c r="M7">
        <f t="shared" si="1"/>
        <v>106.80314403027144</v>
      </c>
    </row>
    <row r="8" spans="1:16" x14ac:dyDescent="0.15">
      <c r="A8">
        <v>3</v>
      </c>
      <c r="C8">
        <v>0.08</v>
      </c>
      <c r="D8">
        <v>0</v>
      </c>
      <c r="F8">
        <v>0.08</v>
      </c>
      <c r="G8">
        <v>0</v>
      </c>
      <c r="I8">
        <v>0.08</v>
      </c>
      <c r="J8">
        <v>0</v>
      </c>
      <c r="K8">
        <v>22</v>
      </c>
      <c r="L8">
        <f t="shared" si="0"/>
        <v>0.34307730042304163</v>
      </c>
      <c r="M8">
        <f t="shared" si="1"/>
        <v>0.11770203406556196</v>
      </c>
    </row>
    <row r="9" spans="1:16" x14ac:dyDescent="0.15">
      <c r="A9">
        <v>3</v>
      </c>
      <c r="C9">
        <v>0.28999999999999998</v>
      </c>
      <c r="D9">
        <v>18.7</v>
      </c>
      <c r="F9">
        <v>0.28999999999999998</v>
      </c>
      <c r="G9">
        <v>18.7</v>
      </c>
      <c r="I9">
        <v>0.28999999999999998</v>
      </c>
      <c r="J9">
        <v>18.7</v>
      </c>
      <c r="K9">
        <v>22</v>
      </c>
      <c r="L9">
        <f t="shared" si="0"/>
        <v>1.8778356210733389</v>
      </c>
      <c r="M9">
        <f t="shared" si="1"/>
        <v>282.98521439162903</v>
      </c>
    </row>
    <row r="10" spans="1:16" x14ac:dyDescent="0.15">
      <c r="A10">
        <v>4</v>
      </c>
      <c r="C10">
        <v>0.28000000000000003</v>
      </c>
      <c r="D10">
        <v>0</v>
      </c>
      <c r="F10">
        <v>0.28000000000000003</v>
      </c>
      <c r="G10">
        <v>0</v>
      </c>
      <c r="I10">
        <v>0.28000000000000003</v>
      </c>
      <c r="J10">
        <v>0</v>
      </c>
      <c r="K10">
        <v>22</v>
      </c>
      <c r="L10">
        <f t="shared" si="0"/>
        <v>1.7192358554319545</v>
      </c>
      <c r="M10">
        <f t="shared" si="1"/>
        <v>2.9557719266028442</v>
      </c>
    </row>
    <row r="11" spans="1:16" x14ac:dyDescent="0.15">
      <c r="A11">
        <v>5</v>
      </c>
      <c r="C11">
        <v>0.19</v>
      </c>
      <c r="D11">
        <v>0</v>
      </c>
      <c r="F11">
        <v>0.19</v>
      </c>
      <c r="G11">
        <v>0</v>
      </c>
      <c r="I11">
        <v>0.19</v>
      </c>
      <c r="J11">
        <v>0</v>
      </c>
      <c r="K11">
        <v>22</v>
      </c>
      <c r="L11">
        <f t="shared" si="0"/>
        <v>0.80420109605388179</v>
      </c>
      <c r="M11">
        <f t="shared" si="1"/>
        <v>0.64673940289426479</v>
      </c>
    </row>
    <row r="12" spans="1:16" x14ac:dyDescent="0.15">
      <c r="A12">
        <v>5</v>
      </c>
      <c r="C12">
        <v>0.28000000000000003</v>
      </c>
      <c r="D12">
        <v>88.3</v>
      </c>
      <c r="F12">
        <v>0.28000000000000003</v>
      </c>
      <c r="I12">
        <v>2.91</v>
      </c>
      <c r="J12">
        <v>100</v>
      </c>
      <c r="K12">
        <v>22</v>
      </c>
      <c r="L12">
        <f t="shared" si="0"/>
        <v>89.991985079108375</v>
      </c>
      <c r="M12">
        <f t="shared" si="1"/>
        <v>100.1603626567894</v>
      </c>
    </row>
    <row r="13" spans="1:16" x14ac:dyDescent="0.15">
      <c r="A13">
        <v>5</v>
      </c>
      <c r="C13">
        <v>2.91</v>
      </c>
      <c r="D13">
        <v>100</v>
      </c>
      <c r="F13">
        <v>2.91</v>
      </c>
      <c r="G13">
        <v>100</v>
      </c>
      <c r="I13">
        <v>5.25</v>
      </c>
      <c r="J13">
        <v>100</v>
      </c>
      <c r="K13">
        <v>22</v>
      </c>
      <c r="L13">
        <f t="shared" si="0"/>
        <v>95.720480496697363</v>
      </c>
      <c r="M13">
        <f t="shared" si="1"/>
        <v>18.314287179147652</v>
      </c>
    </row>
    <row r="14" spans="1:16" x14ac:dyDescent="0.15">
      <c r="A14">
        <v>5</v>
      </c>
      <c r="C14">
        <v>5.25</v>
      </c>
      <c r="D14">
        <v>100</v>
      </c>
      <c r="F14">
        <v>5.25</v>
      </c>
      <c r="G14">
        <v>100</v>
      </c>
      <c r="I14">
        <v>0.19</v>
      </c>
      <c r="J14">
        <v>0</v>
      </c>
      <c r="K14">
        <v>22</v>
      </c>
      <c r="L14">
        <f t="shared" si="0"/>
        <v>0.80420109605388179</v>
      </c>
      <c r="M14">
        <f t="shared" si="1"/>
        <v>0.64673940289426479</v>
      </c>
    </row>
    <row r="15" spans="1:16" x14ac:dyDescent="0.15">
      <c r="A15">
        <v>6</v>
      </c>
      <c r="C15">
        <v>0.19</v>
      </c>
      <c r="D15">
        <v>0</v>
      </c>
      <c r="F15">
        <v>0.19</v>
      </c>
      <c r="G15">
        <v>0</v>
      </c>
      <c r="I15">
        <v>2.91</v>
      </c>
      <c r="J15">
        <v>99</v>
      </c>
      <c r="K15">
        <v>22</v>
      </c>
      <c r="L15">
        <f t="shared" si="0"/>
        <v>89.991985079108375</v>
      </c>
      <c r="M15">
        <f t="shared" si="1"/>
        <v>81.144332815006152</v>
      </c>
    </row>
    <row r="16" spans="1:16" x14ac:dyDescent="0.15">
      <c r="A16">
        <v>6</v>
      </c>
      <c r="C16">
        <v>0.28000000000000003</v>
      </c>
      <c r="D16">
        <v>97.2</v>
      </c>
      <c r="F16">
        <v>0.28000000000000003</v>
      </c>
      <c r="I16">
        <v>5.25</v>
      </c>
      <c r="J16">
        <v>100</v>
      </c>
      <c r="K16">
        <v>22</v>
      </c>
      <c r="L16">
        <f t="shared" si="0"/>
        <v>95.720480496697363</v>
      </c>
      <c r="M16">
        <f t="shared" si="1"/>
        <v>18.314287179147652</v>
      </c>
    </row>
    <row r="17" spans="1:13" x14ac:dyDescent="0.15">
      <c r="A17">
        <v>6</v>
      </c>
      <c r="C17">
        <v>2.91</v>
      </c>
      <c r="D17">
        <v>99</v>
      </c>
      <c r="F17">
        <v>2.91</v>
      </c>
      <c r="G17">
        <v>99</v>
      </c>
      <c r="I17">
        <v>0.1</v>
      </c>
      <c r="J17">
        <v>0</v>
      </c>
      <c r="K17">
        <v>22</v>
      </c>
      <c r="L17">
        <f t="shared" si="0"/>
        <v>0.39823333939037814</v>
      </c>
      <c r="M17">
        <f t="shared" si="1"/>
        <v>0.15858979260201209</v>
      </c>
    </row>
    <row r="18" spans="1:13" x14ac:dyDescent="0.15">
      <c r="A18">
        <v>6</v>
      </c>
      <c r="C18">
        <v>5.25</v>
      </c>
      <c r="D18">
        <v>100</v>
      </c>
      <c r="F18">
        <v>5.25</v>
      </c>
      <c r="G18">
        <v>100</v>
      </c>
      <c r="I18">
        <v>0.2</v>
      </c>
      <c r="J18">
        <v>0</v>
      </c>
      <c r="K18">
        <v>22</v>
      </c>
      <c r="L18">
        <f t="shared" si="0"/>
        <v>0.87247510351149404</v>
      </c>
      <c r="M18">
        <f t="shared" si="1"/>
        <v>0.76121280624739229</v>
      </c>
    </row>
    <row r="19" spans="1:13" x14ac:dyDescent="0.15">
      <c r="A19">
        <v>7</v>
      </c>
      <c r="C19">
        <v>0.1</v>
      </c>
      <c r="D19">
        <v>0</v>
      </c>
      <c r="F19">
        <v>0.1</v>
      </c>
      <c r="G19">
        <v>0</v>
      </c>
      <c r="I19">
        <v>0.4</v>
      </c>
      <c r="J19">
        <v>0</v>
      </c>
      <c r="K19">
        <v>22</v>
      </c>
      <c r="L19">
        <f t="shared" si="0"/>
        <v>4.8430051041797322</v>
      </c>
      <c r="M19">
        <f t="shared" si="1"/>
        <v>23.454698439110938</v>
      </c>
    </row>
    <row r="20" spans="1:13" x14ac:dyDescent="0.15">
      <c r="A20">
        <v>7</v>
      </c>
      <c r="C20">
        <v>0.2</v>
      </c>
      <c r="D20">
        <v>0</v>
      </c>
      <c r="F20">
        <v>0.2</v>
      </c>
      <c r="G20">
        <v>0</v>
      </c>
      <c r="I20">
        <v>0.8</v>
      </c>
      <c r="J20">
        <v>32.299999999999997</v>
      </c>
      <c r="K20">
        <v>22</v>
      </c>
      <c r="L20">
        <f t="shared" si="0"/>
        <v>28.870258284338124</v>
      </c>
      <c r="M20">
        <f t="shared" si="1"/>
        <v>11.763128236151246</v>
      </c>
    </row>
    <row r="21" spans="1:13" x14ac:dyDescent="0.15">
      <c r="A21">
        <v>7</v>
      </c>
      <c r="C21">
        <v>0.4</v>
      </c>
      <c r="D21">
        <v>0</v>
      </c>
      <c r="F21">
        <v>0.4</v>
      </c>
      <c r="G21">
        <v>0</v>
      </c>
      <c r="I21">
        <v>1.6</v>
      </c>
      <c r="J21">
        <v>50.2</v>
      </c>
      <c r="K21">
        <v>22</v>
      </c>
      <c r="L21">
        <f t="shared" si="0"/>
        <v>70.885685411057892</v>
      </c>
      <c r="M21">
        <f t="shared" si="1"/>
        <v>427.89758092525318</v>
      </c>
    </row>
    <row r="22" spans="1:13" x14ac:dyDescent="0.15">
      <c r="A22">
        <v>7</v>
      </c>
      <c r="C22">
        <v>0.8</v>
      </c>
      <c r="D22">
        <v>32.299999999999997</v>
      </c>
      <c r="F22">
        <v>0.8</v>
      </c>
      <c r="G22">
        <v>32.299999999999997</v>
      </c>
      <c r="I22">
        <v>0.01</v>
      </c>
      <c r="J22">
        <v>0</v>
      </c>
      <c r="K22">
        <v>22</v>
      </c>
      <c r="L22">
        <f t="shared" si="0"/>
        <v>0.20747782974848444</v>
      </c>
      <c r="M22">
        <f t="shared" si="1"/>
        <v>4.3047049837141096E-2</v>
      </c>
    </row>
    <row r="23" spans="1:13" x14ac:dyDescent="0.15">
      <c r="A23">
        <v>7</v>
      </c>
      <c r="C23">
        <v>1.6</v>
      </c>
      <c r="D23">
        <v>50.2</v>
      </c>
      <c r="F23">
        <v>1.6</v>
      </c>
      <c r="G23">
        <v>50.2</v>
      </c>
      <c r="I23">
        <v>0.25</v>
      </c>
      <c r="J23">
        <v>0</v>
      </c>
      <c r="K23">
        <v>22</v>
      </c>
      <c r="L23">
        <f t="shared" si="0"/>
        <v>1.3256004201813054</v>
      </c>
      <c r="M23">
        <f t="shared" si="1"/>
        <v>1.7572164739848535</v>
      </c>
    </row>
    <row r="24" spans="1:13" x14ac:dyDescent="0.15">
      <c r="A24">
        <v>8</v>
      </c>
      <c r="C24">
        <v>0.01</v>
      </c>
      <c r="D24">
        <v>0</v>
      </c>
      <c r="F24">
        <v>0.01</v>
      </c>
      <c r="G24">
        <v>0</v>
      </c>
      <c r="I24">
        <v>0.5</v>
      </c>
      <c r="J24">
        <v>6.8</v>
      </c>
      <c r="K24">
        <v>22</v>
      </c>
      <c r="L24">
        <f t="shared" si="0"/>
        <v>9.2716077158660557</v>
      </c>
      <c r="M24">
        <f t="shared" si="1"/>
        <v>6.1088447011286222</v>
      </c>
    </row>
    <row r="25" spans="1:13" x14ac:dyDescent="0.15">
      <c r="A25">
        <v>8</v>
      </c>
      <c r="C25">
        <v>0.25</v>
      </c>
      <c r="D25">
        <v>0</v>
      </c>
      <c r="F25">
        <v>0.25</v>
      </c>
      <c r="G25">
        <v>0</v>
      </c>
      <c r="I25">
        <v>0.75</v>
      </c>
      <c r="J25">
        <v>38.6</v>
      </c>
      <c r="K25">
        <v>22</v>
      </c>
      <c r="L25">
        <f t="shared" si="0"/>
        <v>25.303294992247967</v>
      </c>
      <c r="M25">
        <f t="shared" si="1"/>
        <v>176.80236406317803</v>
      </c>
    </row>
    <row r="26" spans="1:13" x14ac:dyDescent="0.15">
      <c r="A26">
        <v>8</v>
      </c>
      <c r="C26">
        <v>0.5</v>
      </c>
      <c r="D26">
        <v>6.8</v>
      </c>
      <c r="F26">
        <v>0.5</v>
      </c>
      <c r="G26">
        <v>6.8</v>
      </c>
      <c r="I26">
        <v>1</v>
      </c>
      <c r="J26">
        <v>61.6</v>
      </c>
      <c r="K26">
        <v>22</v>
      </c>
      <c r="L26">
        <f t="shared" si="0"/>
        <v>42.637400995855664</v>
      </c>
      <c r="M26">
        <f t="shared" si="1"/>
        <v>359.58016099197579</v>
      </c>
    </row>
    <row r="27" spans="1:13" x14ac:dyDescent="0.15">
      <c r="A27">
        <v>8</v>
      </c>
      <c r="C27">
        <v>0.75</v>
      </c>
      <c r="D27">
        <v>38.6</v>
      </c>
      <c r="F27">
        <v>0.75</v>
      </c>
      <c r="G27">
        <v>38.6</v>
      </c>
    </row>
    <row r="28" spans="1:13" x14ac:dyDescent="0.15">
      <c r="A28">
        <v>8</v>
      </c>
      <c r="C28">
        <v>1</v>
      </c>
      <c r="D28">
        <v>61.6</v>
      </c>
      <c r="F28">
        <v>1</v>
      </c>
      <c r="G28">
        <v>61.6</v>
      </c>
      <c r="H28" t="s">
        <v>17</v>
      </c>
    </row>
    <row r="29" spans="1:13" x14ac:dyDescent="0.15">
      <c r="H29">
        <v>12.5</v>
      </c>
      <c r="I29">
        <v>0</v>
      </c>
      <c r="J29">
        <f>100-H29</f>
        <v>87.5</v>
      </c>
      <c r="K29">
        <v>4</v>
      </c>
      <c r="L29">
        <f t="shared" si="0"/>
        <v>95.504449215983172</v>
      </c>
      <c r="M29">
        <f t="shared" si="1"/>
        <v>64.071207251253611</v>
      </c>
    </row>
    <row r="30" spans="1:13" x14ac:dyDescent="0.15">
      <c r="H30">
        <v>16</v>
      </c>
      <c r="I30">
        <v>0</v>
      </c>
      <c r="J30">
        <f t="shared" ref="J30:J35" si="2">100-H30</f>
        <v>84</v>
      </c>
      <c r="K30">
        <v>7</v>
      </c>
      <c r="L30">
        <f t="shared" si="0"/>
        <v>87.514195113047251</v>
      </c>
      <c r="M30">
        <f t="shared" si="1"/>
        <v>12.349567292565178</v>
      </c>
    </row>
    <row r="31" spans="1:13" x14ac:dyDescent="0.15">
      <c r="H31">
        <v>24</v>
      </c>
      <c r="I31">
        <v>0</v>
      </c>
      <c r="J31">
        <f t="shared" si="2"/>
        <v>76</v>
      </c>
      <c r="K31">
        <v>10</v>
      </c>
      <c r="L31">
        <f t="shared" si="0"/>
        <v>71.844113806805126</v>
      </c>
      <c r="M31">
        <f t="shared" si="1"/>
        <v>17.271390050787783</v>
      </c>
    </row>
    <row r="32" spans="1:13" x14ac:dyDescent="0.15">
      <c r="I32">
        <v>0</v>
      </c>
      <c r="J32">
        <v>0</v>
      </c>
      <c r="K32">
        <v>18</v>
      </c>
      <c r="L32">
        <f t="shared" si="0"/>
        <v>4.5999204245755481</v>
      </c>
      <c r="M32">
        <f t="shared" si="1"/>
        <v>21.159267912427289</v>
      </c>
    </row>
    <row r="33" spans="8:13" x14ac:dyDescent="0.15">
      <c r="H33">
        <v>7.5</v>
      </c>
      <c r="I33">
        <v>0.01</v>
      </c>
      <c r="J33">
        <f t="shared" si="2"/>
        <v>92.5</v>
      </c>
      <c r="K33">
        <v>4</v>
      </c>
      <c r="L33">
        <f t="shared" si="0"/>
        <v>95.521777330708076</v>
      </c>
      <c r="M33">
        <f t="shared" si="1"/>
        <v>9.1311382363812257</v>
      </c>
    </row>
    <row r="34" spans="8:13" x14ac:dyDescent="0.15">
      <c r="H34">
        <v>16</v>
      </c>
      <c r="I34">
        <v>0.01</v>
      </c>
      <c r="J34">
        <f t="shared" si="2"/>
        <v>84</v>
      </c>
      <c r="K34">
        <v>7</v>
      </c>
      <c r="L34">
        <f t="shared" si="0"/>
        <v>87.602946451212404</v>
      </c>
      <c r="M34">
        <f t="shared" si="1"/>
        <v>12.981223130304054</v>
      </c>
    </row>
    <row r="35" spans="8:13" x14ac:dyDescent="0.15">
      <c r="H35">
        <v>23</v>
      </c>
      <c r="I35">
        <v>0.01</v>
      </c>
      <c r="J35">
        <f t="shared" si="2"/>
        <v>77</v>
      </c>
      <c r="K35">
        <v>10</v>
      </c>
      <c r="L35">
        <f t="shared" si="0"/>
        <v>72.123034257208289</v>
      </c>
      <c r="M35">
        <f t="shared" si="1"/>
        <v>23.784794856363906</v>
      </c>
    </row>
    <row r="36" spans="8:13" x14ac:dyDescent="0.15">
      <c r="I36">
        <v>0.01</v>
      </c>
      <c r="J36">
        <v>2</v>
      </c>
      <c r="K36">
        <v>18</v>
      </c>
      <c r="L36">
        <f t="shared" si="0"/>
        <v>4.9312257416441794</v>
      </c>
      <c r="M36">
        <f t="shared" si="1"/>
        <v>8.5920843484774689</v>
      </c>
    </row>
    <row r="37" spans="8:13" x14ac:dyDescent="0.15">
      <c r="H37">
        <v>8</v>
      </c>
      <c r="I37">
        <v>0.1</v>
      </c>
      <c r="J37">
        <f t="shared" ref="J37:J39" si="3">100-H37</f>
        <v>92</v>
      </c>
      <c r="K37">
        <v>4</v>
      </c>
      <c r="L37">
        <f t="shared" si="0"/>
        <v>95.670936820954807</v>
      </c>
      <c r="M37">
        <f t="shared" si="1"/>
        <v>13.475777143441787</v>
      </c>
    </row>
    <row r="38" spans="8:13" x14ac:dyDescent="0.15">
      <c r="H38">
        <v>8</v>
      </c>
      <c r="I38">
        <v>0.1</v>
      </c>
      <c r="J38">
        <f t="shared" si="3"/>
        <v>92</v>
      </c>
      <c r="K38">
        <v>7</v>
      </c>
      <c r="L38">
        <f t="shared" si="0"/>
        <v>88.354993738859037</v>
      </c>
      <c r="M38">
        <f t="shared" si="1"/>
        <v>13.286070643756826</v>
      </c>
    </row>
    <row r="39" spans="8:13" x14ac:dyDescent="0.15">
      <c r="H39">
        <v>12</v>
      </c>
      <c r="I39">
        <v>0.1</v>
      </c>
      <c r="J39">
        <f t="shared" si="3"/>
        <v>88</v>
      </c>
      <c r="K39">
        <v>10</v>
      </c>
      <c r="L39">
        <f t="shared" si="0"/>
        <v>74.468592568570145</v>
      </c>
      <c r="M39">
        <f t="shared" si="1"/>
        <v>183.0989870753551</v>
      </c>
    </row>
    <row r="40" spans="8:13" x14ac:dyDescent="0.15">
      <c r="I40">
        <v>0.1</v>
      </c>
      <c r="J40">
        <v>2.5</v>
      </c>
      <c r="K40">
        <v>18</v>
      </c>
      <c r="L40">
        <f t="shared" si="0"/>
        <v>8.7556645784968996</v>
      </c>
      <c r="M40">
        <f t="shared" si="1"/>
        <v>39.133339318660795</v>
      </c>
    </row>
    <row r="41" spans="8:13" x14ac:dyDescent="0.15">
      <c r="H41">
        <v>8</v>
      </c>
      <c r="I41">
        <v>1</v>
      </c>
      <c r="J41">
        <f t="shared" ref="J41:J43" si="4">100-H41</f>
        <v>92</v>
      </c>
      <c r="K41">
        <v>4</v>
      </c>
      <c r="L41">
        <f t="shared" si="0"/>
        <v>96.691337278316723</v>
      </c>
      <c r="M41">
        <f t="shared" si="1"/>
        <v>22.00864545892416</v>
      </c>
    </row>
    <row r="42" spans="8:13" x14ac:dyDescent="0.15">
      <c r="H42">
        <v>9</v>
      </c>
      <c r="I42">
        <v>1</v>
      </c>
      <c r="J42">
        <f t="shared" si="4"/>
        <v>91</v>
      </c>
      <c r="K42">
        <v>7</v>
      </c>
      <c r="L42">
        <f t="shared" si="0"/>
        <v>92.89313776385552</v>
      </c>
      <c r="M42">
        <f t="shared" si="1"/>
        <v>3.5839705929358803</v>
      </c>
    </row>
    <row r="43" spans="8:13" x14ac:dyDescent="0.15">
      <c r="H43">
        <v>11</v>
      </c>
      <c r="I43">
        <v>1</v>
      </c>
      <c r="J43">
        <f t="shared" si="4"/>
        <v>89</v>
      </c>
      <c r="K43">
        <v>10</v>
      </c>
      <c r="L43">
        <f t="shared" si="0"/>
        <v>87.498661841366911</v>
      </c>
      <c r="M43">
        <f t="shared" si="1"/>
        <v>2.2540162665677954</v>
      </c>
    </row>
    <row r="44" spans="8:13" x14ac:dyDescent="0.15">
      <c r="I44">
        <v>1</v>
      </c>
      <c r="J44">
        <v>37</v>
      </c>
      <c r="K44">
        <v>18</v>
      </c>
      <c r="L44">
        <f t="shared" si="0"/>
        <v>61.886261579858932</v>
      </c>
      <c r="M44">
        <f t="shared" si="1"/>
        <v>619.32601542116277</v>
      </c>
    </row>
    <row r="45" spans="8:13" x14ac:dyDescent="0.15">
      <c r="H45">
        <v>8</v>
      </c>
      <c r="I45">
        <v>10</v>
      </c>
      <c r="J45">
        <f t="shared" ref="J45:J47" si="5">100-H45</f>
        <v>92</v>
      </c>
      <c r="K45">
        <v>4</v>
      </c>
      <c r="L45">
        <f t="shared" si="0"/>
        <v>98.416169502166838</v>
      </c>
      <c r="M45">
        <f t="shared" si="1"/>
        <v>41.167231080535849</v>
      </c>
    </row>
    <row r="46" spans="8:13" x14ac:dyDescent="0.15">
      <c r="H46">
        <v>9</v>
      </c>
      <c r="I46">
        <v>10</v>
      </c>
      <c r="J46">
        <f t="shared" si="5"/>
        <v>91</v>
      </c>
      <c r="K46">
        <v>7</v>
      </c>
      <c r="L46">
        <f t="shared" si="0"/>
        <v>97.942794167466261</v>
      </c>
      <c r="M46">
        <f t="shared" si="1"/>
        <v>48.202390851803528</v>
      </c>
    </row>
    <row r="47" spans="8:13" x14ac:dyDescent="0.15">
      <c r="H47">
        <v>12</v>
      </c>
      <c r="I47">
        <v>10</v>
      </c>
      <c r="J47">
        <f t="shared" si="5"/>
        <v>88</v>
      </c>
      <c r="K47">
        <v>10</v>
      </c>
      <c r="L47">
        <f t="shared" si="0"/>
        <v>97.723079018185203</v>
      </c>
      <c r="M47">
        <f t="shared" si="1"/>
        <v>94.538265593873334</v>
      </c>
    </row>
    <row r="48" spans="8:13" x14ac:dyDescent="0.15">
      <c r="I48">
        <v>10</v>
      </c>
      <c r="J48">
        <v>20</v>
      </c>
      <c r="K48">
        <v>18</v>
      </c>
      <c r="L48">
        <f t="shared" si="0"/>
        <v>97.556808686320693</v>
      </c>
      <c r="M48">
        <f t="shared" si="1"/>
        <v>6015.0585736065486</v>
      </c>
    </row>
    <row r="50" spans="9:13" x14ac:dyDescent="0.15">
      <c r="M50" t="s">
        <v>8</v>
      </c>
    </row>
    <row r="51" spans="9:13" x14ac:dyDescent="0.15">
      <c r="M51">
        <f>SUM(M2:M47)</f>
        <v>2895.7308220717682</v>
      </c>
    </row>
    <row r="52" spans="9:13" x14ac:dyDescent="0.15">
      <c r="I52">
        <v>0.01</v>
      </c>
      <c r="K52">
        <v>22</v>
      </c>
      <c r="L52">
        <f t="shared" si="0"/>
        <v>0.20747782974848444</v>
      </c>
    </row>
    <row r="53" spans="9:13" x14ac:dyDescent="0.15">
      <c r="I53">
        <v>1.4999999999999999E-2</v>
      </c>
      <c r="K53">
        <v>22</v>
      </c>
      <c r="L53">
        <f t="shared" si="0"/>
        <v>0.21486472222031167</v>
      </c>
    </row>
    <row r="54" spans="9:13" x14ac:dyDescent="0.15">
      <c r="I54">
        <v>2.5000000000000001E-2</v>
      </c>
      <c r="K54">
        <v>22</v>
      </c>
      <c r="L54">
        <f t="shared" si="0"/>
        <v>0.23053459620060754</v>
      </c>
    </row>
    <row r="55" spans="9:13" x14ac:dyDescent="0.15">
      <c r="I55">
        <v>0.04</v>
      </c>
      <c r="K55">
        <v>22</v>
      </c>
      <c r="L55">
        <f t="shared" si="0"/>
        <v>0.25648297420922578</v>
      </c>
    </row>
    <row r="56" spans="9:13" x14ac:dyDescent="0.15">
      <c r="I56">
        <v>0.06</v>
      </c>
      <c r="K56">
        <v>22</v>
      </c>
      <c r="L56">
        <f t="shared" si="0"/>
        <v>0.29628358211176037</v>
      </c>
    </row>
    <row r="57" spans="9:13" x14ac:dyDescent="0.15">
      <c r="I57">
        <v>0.1</v>
      </c>
      <c r="K57">
        <v>22</v>
      </c>
      <c r="L57">
        <f t="shared" si="0"/>
        <v>0.39823333939037814</v>
      </c>
    </row>
    <row r="58" spans="9:13" x14ac:dyDescent="0.15">
      <c r="I58">
        <v>0.15</v>
      </c>
      <c r="K58">
        <v>22</v>
      </c>
      <c r="L58">
        <f t="shared" si="0"/>
        <v>0.58455094996941226</v>
      </c>
    </row>
    <row r="59" spans="9:13" x14ac:dyDescent="0.15">
      <c r="I59">
        <v>0.25</v>
      </c>
      <c r="K59">
        <v>22</v>
      </c>
      <c r="L59">
        <f t="shared" si="0"/>
        <v>1.3256004201813054</v>
      </c>
    </row>
    <row r="60" spans="9:13" x14ac:dyDescent="0.15">
      <c r="I60">
        <v>0.4</v>
      </c>
      <c r="K60">
        <v>22</v>
      </c>
      <c r="L60">
        <f t="shared" si="0"/>
        <v>4.8430051041797322</v>
      </c>
    </row>
    <row r="61" spans="9:13" x14ac:dyDescent="0.15">
      <c r="I61">
        <v>0.6</v>
      </c>
      <c r="K61">
        <v>22</v>
      </c>
      <c r="L61">
        <f t="shared" si="0"/>
        <v>15.070808354008127</v>
      </c>
    </row>
    <row r="62" spans="9:13" x14ac:dyDescent="0.15">
      <c r="I62">
        <v>1</v>
      </c>
      <c r="K62">
        <v>22</v>
      </c>
      <c r="L62">
        <f t="shared" si="0"/>
        <v>42.637400995855664</v>
      </c>
    </row>
    <row r="63" spans="9:13" x14ac:dyDescent="0.15">
      <c r="I63">
        <v>1.5</v>
      </c>
      <c r="K63">
        <v>22</v>
      </c>
      <c r="L63">
        <f t="shared" si="0"/>
        <v>67.55886336520976</v>
      </c>
    </row>
    <row r="64" spans="9:13" x14ac:dyDescent="0.15">
      <c r="I64">
        <v>2</v>
      </c>
      <c r="K64">
        <v>22</v>
      </c>
      <c r="L64">
        <f t="shared" si="0"/>
        <v>80.39262843882959</v>
      </c>
    </row>
    <row r="65" spans="9:12" x14ac:dyDescent="0.15">
      <c r="I65">
        <v>3</v>
      </c>
      <c r="K65">
        <v>22</v>
      </c>
      <c r="L65">
        <f t="shared" si="0"/>
        <v>90.497316070168964</v>
      </c>
    </row>
    <row r="66" spans="9:12" x14ac:dyDescent="0.15">
      <c r="I66">
        <v>4</v>
      </c>
      <c r="K66">
        <v>22</v>
      </c>
      <c r="L66">
        <f t="shared" si="0"/>
        <v>93.93820403865908</v>
      </c>
    </row>
    <row r="67" spans="9:12" x14ac:dyDescent="0.15">
      <c r="I67">
        <v>5</v>
      </c>
      <c r="K67">
        <v>22</v>
      </c>
      <c r="L67">
        <f t="shared" si="0"/>
        <v>95.470241005024292</v>
      </c>
    </row>
    <row r="68" spans="9:12" x14ac:dyDescent="0.15">
      <c r="I68">
        <v>6</v>
      </c>
      <c r="K68">
        <v>22</v>
      </c>
      <c r="L68">
        <f t="shared" si="0"/>
        <v>96.292629353604624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Sheet1 (2)</vt:lpstr>
      <vt:lpstr>Sheet2</vt:lpstr>
      <vt:lpstr>Sheet3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Nakamura</dc:creator>
  <cp:lastModifiedBy>Takashi</cp:lastModifiedBy>
  <dcterms:created xsi:type="dcterms:W3CDTF">2014-01-15T04:37:30Z</dcterms:created>
  <dcterms:modified xsi:type="dcterms:W3CDTF">2016-05-10T06:28:10Z</dcterms:modified>
</cp:coreProperties>
</file>